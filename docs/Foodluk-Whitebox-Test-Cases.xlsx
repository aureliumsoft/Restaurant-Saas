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Users &amp; RBAC" state="visible" r:id="rId5"/>
    <sheet sheetId="3" name="Full system" state="visible" r:id="rId6"/>
    <sheet sheetId="4" name="Summary" state="visible" r:id="rId7"/>
  </sheets>
  <calcPr calcId="171027"/>
</workbook>
</file>

<file path=xl/sharedStrings.xml><?xml version="1.0" encoding="utf-8"?>
<sst xmlns="http://schemas.openxmlformats.org/spreadsheetml/2006/main" count="5364" uniqueCount="2056">
  <si>
    <t>Foodluk white-box manual test workbook</t>
  </si>
  <si>
    <t>Field</t>
  </si>
  <si>
    <t>Instructions</t>
  </si>
  <si>
    <t>How to mark results</t>
  </si>
  <si>
    <t>On Users &amp; RBAC or Full system: pick Result (Not Run / Pass / Fail / Blocked). Then tick Approved (☑) or Rejected (☑) using the dropdown. Do not tick both.</t>
  </si>
  <si>
    <t>Approved</t>
  </si>
  <si>
    <t>Use only when Result = Pass. Green cell when ☑.</t>
  </si>
  <si>
    <t>Rejected</t>
  </si>
  <si>
    <t>Use only when Result = Fail or the case is invalid. Red cell when ☑.</t>
  </si>
  <si>
    <t>Filter</t>
  </si>
  <si>
    <t>Row 1 is frozen with AutoFilter. Filter by Area, Result, Approved, or Rejected.</t>
  </si>
  <si>
    <t>Actors to prepare</t>
  </si>
  <si>
    <t>Owner (GROWTH), Owner (STARTER), Admin employee, Cashier (pos+sales), Kitchen (kds), Settings access-only, Settings edit-only, empty-permission user, platform admin, customer account, second restaurant.</t>
  </si>
  <si>
    <t>RBAC tokens</t>
  </si>
  <si>
    <t>Each dashboard module has access / edit / delete. Delete implies edit implies access. Account owner always has full access.</t>
  </si>
  <si>
    <t>Sheets</t>
  </si>
  <si>
    <t>Users &amp; RBAC = team, invites, roles, permissions, plan gates. Full system = marketing through POS, kiosk, storefront, payments, catalog, admin, E2E, security.</t>
  </si>
  <si>
    <t>Summary</t>
  </si>
  <si>
    <t>Counts update automatically from Result / Approved / Rejected columns.</t>
  </si>
  <si>
    <t>ID</t>
  </si>
  <si>
    <t>Area</t>
  </si>
  <si>
    <t>Title</t>
  </si>
  <si>
    <t>Actor</t>
  </si>
  <si>
    <t>Preconditions</t>
  </si>
  <si>
    <t>Steps</t>
  </si>
  <si>
    <t>Expected</t>
  </si>
  <si>
    <t>White-box / API</t>
  </si>
  <si>
    <t>Result</t>
  </si>
  <si>
    <t>Notes</t>
  </si>
  <si>
    <t>Tester</t>
  </si>
  <si>
    <t>Tested on</t>
  </si>
  <si>
    <t>USR-01</t>
  </si>
  <si>
    <t>Staff login</t>
  </si>
  <si>
    <t>Owner email login</t>
  </si>
  <si>
    <t>Owner</t>
  </si>
  <si>
    <t>GROWTH restaurant exists</t>
  </si>
  <si>
    <t>Login with owner email/password</t>
  </si>
  <si>
    <t>Dashboard loads; all nav items visible</t>
  </si>
  <si>
    <t>JWT + Employee Owner role</t>
  </si>
  <si>
    <t>Not Run</t>
  </si>
  <si>
    <t>☐</t>
  </si>
  <si>
    <t/>
  </si>
  <si>
    <t>USR-02</t>
  </si>
  <si>
    <t>Wrong password</t>
  </si>
  <si>
    <t>Anyone</t>
  </si>
  <si>
    <t>Valid email</t>
  </si>
  <si>
    <t>Submit wrong password</t>
  </si>
  <si>
    <t>Stay on /login; no session</t>
  </si>
  <si>
    <t>authorize returns null</t>
  </si>
  <si>
    <t>USR-03</t>
  </si>
  <si>
    <t>Employee limited login</t>
  </si>
  <si>
    <t>Cashier</t>
  </si>
  <si>
    <t>Custom pos+sales role</t>
  </si>
  <si>
    <t>Login as cashier</t>
  </si>
  <si>
    <t>Only POS/Sales in sidebar</t>
  </si>
  <si>
    <t>navItemsForPermissions</t>
  </si>
  <si>
    <t>USR-04</t>
  </si>
  <si>
    <t>Customer cannot use dashboard</t>
  </si>
  <si>
    <t>Customer</t>
  </si>
  <si>
    <t>CustomerAccount only</t>
  </si>
  <si>
    <t>Open /login then /dashboard</t>
  </si>
  <si>
    <t>No restaurant dashboard (unless they also have a staff User)</t>
  </si>
  <si>
    <t>CustomerAccount ≠ staff User</t>
  </si>
  <si>
    <t>USR-05</t>
  </si>
  <si>
    <t>Staff signup</t>
  </si>
  <si>
    <t>Google new worker</t>
  </si>
  <si>
    <t>New Google user</t>
  </si>
  <si>
    <t>Google OAuth on</t>
  </si>
  <si>
    <t>Sign up as worker</t>
  </si>
  <si>
    <t>Global pending_worker; no restaurant until invite</t>
  </si>
  <si>
    <t>GLOBAL_ROLE_SLUG.PENDING_WORKER</t>
  </si>
  <si>
    <t>USR-06</t>
  </si>
  <si>
    <t>Google new owner</t>
  </si>
  <si>
    <t>Sign up as OWNER then onboard</t>
  </si>
  <si>
    <t>pending_owner then restaurant created</t>
  </si>
  <si>
    <t>/role + onboarding</t>
  </si>
  <si>
    <t>USR-07</t>
  </si>
  <si>
    <t>Staff users</t>
  </si>
  <si>
    <t>New employee weak password</t>
  </si>
  <si>
    <t>settings:edit</t>
  </si>
  <si>
    <t>Create user with 7-char password</t>
  </si>
  <si>
    <t>400; password must be ≥ 8</t>
  </si>
  <si>
    <t>isStrongPassword</t>
  </si>
  <si>
    <t>USR-08</t>
  </si>
  <si>
    <t>Duplicate staff on same restaurant</t>
  </si>
  <si>
    <t>User already employee</t>
  </si>
  <si>
    <t>Invite same email again</t>
  </si>
  <si>
    <t>409 already part of this restaurant</t>
  </si>
  <si>
    <t>unique userId_restaurantId</t>
  </si>
  <si>
    <t>USR-09</t>
  </si>
  <si>
    <t>Logout then protected route</t>
  </si>
  <si>
    <t>Staff</t>
  </si>
  <si>
    <t>Logged in</t>
  </si>
  <si>
    <t>Logout; open /pos</t>
  </si>
  <si>
    <t>Redirect /login?callbackUrl=</t>
  </si>
  <si>
    <t>middleware needsAuth</t>
  </si>
  <si>
    <t>USR-10</t>
  </si>
  <si>
    <t>Empty permissions account</t>
  </si>
  <si>
    <t>Empty-role employee</t>
  </si>
  <si>
    <t>Custom role with no tokens</t>
  </si>
  <si>
    <t>Login</t>
  </si>
  <si>
    <t>Message: no dashboard permissions returned</t>
  </si>
  <si>
    <t>(root)/layout permissions.length === 0</t>
  </si>
  <si>
    <t>USR-11</t>
  </si>
  <si>
    <t>Platform admin</t>
  </si>
  <si>
    <t>Admin can open /admin</t>
  </si>
  <si>
    <t>Email in ADMIN_EMAIL(S)</t>
  </si>
  <si>
    <t>Open /admin/dashboard</t>
  </si>
  <si>
    <t>Admin console loads</t>
  </si>
  <si>
    <t>isPlatformAdmin</t>
  </si>
  <si>
    <t>USR-12</t>
  </si>
  <si>
    <t>Restaurant owner blocked from /admin</t>
  </si>
  <si>
    <t>Not in ADMIN_EMAILS</t>
  </si>
  <si>
    <t>Redirect to /</t>
  </si>
  <si>
    <t>middleware admin gate</t>
  </si>
  <si>
    <t>TEAM-01</t>
  </si>
  <si>
    <t>Team</t>
  </si>
  <si>
    <t>List team with access</t>
  </si>
  <si>
    <t>Settings viewer</t>
  </si>
  <si>
    <t>settings:access only</t>
  </si>
  <si>
    <t>Open Settings → User access</t>
  </si>
  <si>
    <t>Sees employees + pending invites</t>
  </si>
  <si>
    <t>GET /api/restaurant/employees</t>
  </si>
  <si>
    <t>TEAM-02</t>
  </si>
  <si>
    <t>List team denied</t>
  </si>
  <si>
    <t>No settings permission</t>
  </si>
  <si>
    <t>Open /settings</t>
  </si>
  <si>
    <t>Redirect /no-access</t>
  </si>
  <si>
    <t>layout moduleKeyForPath</t>
  </si>
  <si>
    <t>TEAM-03</t>
  </si>
  <si>
    <t>Create brand-new user</t>
  </si>
  <si>
    <t>Name + email + password + Admin role</t>
  </si>
  <si>
    <t>flow user_created; user can login</t>
  </si>
  <si>
    <t>POST employees; User.roleId=pending_worker</t>
  </si>
  <si>
    <t>TEAM-04</t>
  </si>
  <si>
    <t>New user missing name</t>
  </si>
  <si>
    <t>Email not in DB</t>
  </si>
  <si>
    <t>Submit without name</t>
  </si>
  <si>
    <t>400 name required</t>
  </si>
  <si>
    <t>postSchema / name check</t>
  </si>
  <si>
    <t>TEAM-05</t>
  </si>
  <si>
    <t>New user missing password</t>
  </si>
  <si>
    <t>Submit without password</t>
  </si>
  <si>
    <t>400 password required</t>
  </si>
  <si>
    <t>TEAM-06</t>
  </si>
  <si>
    <t>Invite existing account</t>
  </si>
  <si>
    <t>Email already a User</t>
  </si>
  <si>
    <t>Invite without creating password</t>
  </si>
  <si>
    <t>flow invite_sent; Employee not created yet</t>
  </si>
  <si>
    <t>EmployeeInvite PENDING 7 days</t>
  </si>
  <si>
    <t>TEAM-07</t>
  </si>
  <si>
    <t>Duplicate pending invite</t>
  </si>
  <si>
    <t>Pending invite exists</t>
  </si>
  <si>
    <t>409 invitation already pending</t>
  </si>
  <si>
    <t>findFirst PENDING</t>
  </si>
  <si>
    <t>TEAM-08</t>
  </si>
  <si>
    <t>Invite with SMTP off</t>
  </si>
  <si>
    <t>SMTP not configured</t>
  </si>
  <si>
    <t>Invite existing user</t>
  </si>
  <si>
    <t>Invite saved; manualInviteUrl returned</t>
  </si>
  <si>
    <t>emailDelivered false</t>
  </si>
  <si>
    <t>TEAM-09</t>
  </si>
  <si>
    <t>Invite email send failure</t>
  </si>
  <si>
    <t>SMTP fails</t>
  </si>
  <si>
    <t>Invite deleted; 502</t>
  </si>
  <si>
    <t>rollback invite row</t>
  </si>
  <si>
    <t>TEAM-10</t>
  </si>
  <si>
    <t>Cannot invite as Owner role</t>
  </si>
  <si>
    <t>Owner role id</t>
  </si>
  <si>
    <t>Select Owner on invite</t>
  </si>
  <si>
    <t>400 Owner role cannot be assigned through invites</t>
  </si>
  <si>
    <t>assertAssignableRestaurantRole</t>
  </si>
  <si>
    <t>TEAM-11</t>
  </si>
  <si>
    <t>Custom role requires branch</t>
  </si>
  <si>
    <t>GROWTH; custom role</t>
  </si>
  <si>
    <t>Invite cashier with empty branchIds</t>
  </si>
  <si>
    <t>400 Select a branch for this team member</t>
  </si>
  <si>
    <t>non-Admin must have branchIds</t>
  </si>
  <si>
    <t>TEAM-12</t>
  </si>
  <si>
    <t>Admin invite without branch</t>
  </si>
  <si>
    <t>Admin preset role</t>
  </si>
  <si>
    <t>Invite Admin; no branches</t>
  </si>
  <si>
    <t>Allowed (all branches)</t>
  </si>
  <si>
    <t>isAdminRole exempt</t>
  </si>
  <si>
    <t>TEAM-13</t>
  </si>
  <si>
    <t>Invite needs settings:edit</t>
  </si>
  <si>
    <t>Submit invite</t>
  </si>
  <si>
    <t>403 Access Blocked</t>
  </si>
  <si>
    <t>POST action edit</t>
  </si>
  <si>
    <t>TEAM-14</t>
  </si>
  <si>
    <t>Employees pagination</t>
  </si>
  <si>
    <t>Many employees</t>
  </si>
  <si>
    <t>GET ?page=1</t>
  </si>
  <si>
    <t>pagination meta; default page size 20</t>
  </si>
  <si>
    <t>parsePaginationParams</t>
  </si>
  <si>
    <t>INV-01</t>
  </si>
  <si>
    <t>Invite</t>
  </si>
  <si>
    <t>Verify valid token</t>
  </si>
  <si>
    <t>PENDING unexpired invite</t>
  </si>
  <si>
    <t>GET /api/restaurant/invites/verify?token=</t>
  </si>
  <si>
    <t>Returns restaurantName roleName email</t>
  </si>
  <si>
    <t>verify route</t>
  </si>
  <si>
    <t>INV-02</t>
  </si>
  <si>
    <t>Verify missing token</t>
  </si>
  <si>
    <t>—</t>
  </si>
  <si>
    <t>GET verify without token</t>
  </si>
  <si>
    <t>400 Missing token</t>
  </si>
  <si>
    <t>INV-03</t>
  </si>
  <si>
    <t>Verify used token</t>
  </si>
  <si>
    <t>Invite ACCEPTED/DECLINED</t>
  </si>
  <si>
    <t>GET verify</t>
  </si>
  <si>
    <t>404 Invalid or already handled</t>
  </si>
  <si>
    <t>status !== PENDING</t>
  </si>
  <si>
    <t>INV-04</t>
  </si>
  <si>
    <t>Verify expired token</t>
  </si>
  <si>
    <t>expiresAt in the past</t>
  </si>
  <si>
    <t>410 invitation has expired</t>
  </si>
  <si>
    <t>expiresAt check</t>
  </si>
  <si>
    <t>INV-05</t>
  </si>
  <si>
    <t>Accept while logged out</t>
  </si>
  <si>
    <t>Guest</t>
  </si>
  <si>
    <t>Valid token</t>
  </si>
  <si>
    <t>POST /api/restaurant/invites/accept</t>
  </si>
  <si>
    <t>401 Unauthorized</t>
  </si>
  <si>
    <t>getAppSession required</t>
  </si>
  <si>
    <t>INV-06</t>
  </si>
  <si>
    <t>Accept with wrong email</t>
  </si>
  <si>
    <t>Other staff</t>
  </si>
  <si>
    <t>Logged in as different email</t>
  </si>
  <si>
    <t>POST accept</t>
  </si>
  <si>
    <t>403 sign in with invited email</t>
  </si>
  <si>
    <t>case-insensitive email match</t>
  </si>
  <si>
    <t>INV-07</t>
  </si>
  <si>
    <t>Accept correct email</t>
  </si>
  <si>
    <t>Invited user</t>
  </si>
  <si>
    <t>Logged in as invited email</t>
  </si>
  <si>
    <t>Accept invite</t>
  </si>
  <si>
    <t>Employee created; invite ACCEPTED; branches synced</t>
  </si>
  <si>
    <t>accept route + syncEmployeeBranches</t>
  </si>
  <si>
    <t>INV-08</t>
  </si>
  <si>
    <t>Accept when already member</t>
  </si>
  <si>
    <t>Already employee</t>
  </si>
  <si>
    <t>Accept again</t>
  </si>
  <si>
    <t>alreadyMember true; invite ACCEPTED</t>
  </si>
  <si>
    <t>existing Employee</t>
  </si>
  <si>
    <t>INV-09</t>
  </si>
  <si>
    <t>One restaurant only</t>
  </si>
  <si>
    <t>Employee of A</t>
  </si>
  <si>
    <t>Pending invite to restaurant B</t>
  </si>
  <si>
    <t>Accept B invite</t>
  </si>
  <si>
    <t>Removed from A; other pending invites DECLINED</t>
  </si>
  <si>
    <t>deleteMany other employees</t>
  </si>
  <si>
    <t>INV-10</t>
  </si>
  <si>
    <t>Cancel invite</t>
  </si>
  <si>
    <t>settings:delete</t>
  </si>
  <si>
    <t>DELETE /api/restaurant/invites/[id]</t>
  </si>
  <si>
    <t>Link stops working (404)</t>
  </si>
  <si>
    <t>DELETE settings:delete</t>
  </si>
  <si>
    <t>INV-11</t>
  </si>
  <si>
    <t>Cancel with edit-only</t>
  </si>
  <si>
    <t>Settings editor</t>
  </si>
  <si>
    <t>settings:edit no delete</t>
  </si>
  <si>
    <t>DELETE action delete</t>
  </si>
  <si>
    <t>INV-12</t>
  </si>
  <si>
    <t>Invite landing page</t>
  </si>
  <si>
    <t>Open /invite/restaurant?token=</t>
  </si>
  <si>
    <t>Shows restaurant + Accept</t>
  </si>
  <si>
    <t>verify then accept UI</t>
  </si>
  <si>
    <t>EMP-01</t>
  </si>
  <si>
    <t>Employee</t>
  </si>
  <si>
    <t>Change Admin to Cashier</t>
  </si>
  <si>
    <t>Admin employee exists</t>
  </si>
  <si>
    <t>PATCH roleId to cashier</t>
  </si>
  <si>
    <t>Nav/APIs become cashier-only after bootstrap</t>
  </si>
  <si>
    <t>GET /api/me/bootstrap</t>
  </si>
  <si>
    <t>EMP-02</t>
  </si>
  <si>
    <t>Promote cashier to Admin</t>
  </si>
  <si>
    <t>Cashier exists</t>
  </si>
  <si>
    <t>PATCH to Admin role</t>
  </si>
  <si>
    <t>Full dashboard nav</t>
  </si>
  <si>
    <t>Admin preset = all tokens</t>
  </si>
  <si>
    <t>EMP-03</t>
  </si>
  <si>
    <t>Assign Owner role to non-owner</t>
  </si>
  <si>
    <t>PATCH roleId to Owner</t>
  </si>
  <si>
    <t>403 Only the restaurant owner can have the Owner role</t>
  </si>
  <si>
    <t>employees/[id] PATCH</t>
  </si>
  <si>
    <t>EMP-04</t>
  </si>
  <si>
    <t>Demote account owner</t>
  </si>
  <si>
    <t>Admin/Owner</t>
  </si>
  <si>
    <t>Target is restaurant.ownerId</t>
  </si>
  <si>
    <t>Change owner off Owner role</t>
  </si>
  <si>
    <t>403 owner must stay on the Owner role</t>
  </si>
  <si>
    <t>EMP-05</t>
  </si>
  <si>
    <t>Owner ignores stale role permissions</t>
  </si>
  <si>
    <t>Owner role tokens emptied in DB</t>
  </si>
  <si>
    <t>Refresh dashboard</t>
  </si>
  <si>
    <t>Owner still has all modules</t>
  </si>
  <si>
    <t>getEffectiveDashboardPermissionNames ownerId===userId</t>
  </si>
  <si>
    <t>EMP-06</t>
  </si>
  <si>
    <t>Preset Owner slug also full access</t>
  </si>
  <si>
    <t>Owner-slug employee</t>
  </si>
  <si>
    <t>role.slug=owner</t>
  </si>
  <si>
    <t>Load permissions</t>
  </si>
  <si>
    <t>All dashboard tokens</t>
  </si>
  <si>
    <t>slug === owner returns full</t>
  </si>
  <si>
    <t>EMP-07</t>
  </si>
  <si>
    <t>Assign cashier to Branch 2 only</t>
  </si>
  <si>
    <t>Owner/Admin</t>
  </si>
  <si>
    <t>2+ branches</t>
  </si>
  <si>
    <t>PATCH branchIds=[B2]</t>
  </si>
  <si>
    <t>POS/KDS/tables scoped to B2; no branch switcher</t>
  </si>
  <si>
    <t>resolveBranchScope canSwitchBranch false</t>
  </si>
  <si>
    <t>EMP-08</t>
  </si>
  <si>
    <t>Non-admin cannot change branches</t>
  </si>
  <si>
    <t>Custom settings:edit</t>
  </si>
  <si>
    <t>Not owner/admin</t>
  </si>
  <si>
    <t>PATCH branchIds</t>
  </si>
  <si>
    <t>403 Only admins can change branch assignments</t>
  </si>
  <si>
    <t>userIsOwnerOrAdmin</t>
  </si>
  <si>
    <t>EMP-09</t>
  </si>
  <si>
    <t>Cannot assign branches to owner</t>
  </si>
  <si>
    <t>Admin</t>
  </si>
  <si>
    <t>Owner employee</t>
  </si>
  <si>
    <t>PATCH owner branchIds</t>
  </si>
  <si>
    <t>400 Owner has access to all branches</t>
  </si>
  <si>
    <t>EMP-10</t>
  </si>
  <si>
    <t>Owner/Admin branch switcher</t>
  </si>
  <si>
    <t>Use header switcher</t>
  </si>
  <si>
    <t>Cookie rs_branch_{restaurantId} updates</t>
  </si>
  <si>
    <t>canSwitchBranch true</t>
  </si>
  <si>
    <t>EMP-11</t>
  </si>
  <si>
    <t>Staff cannot forge other branch cookie</t>
  </si>
  <si>
    <t>Cashier on B1</t>
  </si>
  <si>
    <t>Cookie set to B2</t>
  </si>
  <si>
    <t>Reload POS/sales</t>
  </si>
  <si>
    <t>Still B1 (assigned branch)</t>
  </si>
  <si>
    <t>preferred branch ignored unless owner/admin</t>
  </si>
  <si>
    <t>EMP-12</t>
  </si>
  <si>
    <t>Remove employee</t>
  </si>
  <si>
    <t>DELETE employee</t>
  </si>
  <si>
    <t>200; user loses restaurant dashboard</t>
  </si>
  <si>
    <t>Employee deleted</t>
  </si>
  <si>
    <t>EMP-13</t>
  </si>
  <si>
    <t>Cannot remove owner</t>
  </si>
  <si>
    <t>Owner employee row</t>
  </si>
  <si>
    <t>DELETE owner</t>
  </si>
  <si>
    <t>403 cannot be removed from the team</t>
  </si>
  <si>
    <t>ownerId guard</t>
  </si>
  <si>
    <t>EMP-14</t>
  </si>
  <si>
    <t>Remove with edit-only</t>
  </si>
  <si>
    <t>403</t>
  </si>
  <si>
    <t>action delete</t>
  </si>
  <si>
    <t>EMP-15</t>
  </si>
  <si>
    <t>Wrong restaurant employeeId</t>
  </si>
  <si>
    <t>Owner A</t>
  </si>
  <si>
    <t>employeeId from restaurant B</t>
  </si>
  <si>
    <t>DELETE that id</t>
  </si>
  <si>
    <t>404 Employee not found</t>
  </si>
  <si>
    <t>scoped restaurantId</t>
  </si>
  <si>
    <t>ROLE-01</t>
  </si>
  <si>
    <t>Roles</t>
  </si>
  <si>
    <t>List restaurant roles</t>
  </si>
  <si>
    <t>settings:access</t>
  </si>
  <si>
    <t>GET /api/restaurant/roles</t>
  </si>
  <si>
    <t>Owner Admin + customs</t>
  </si>
  <si>
    <t>GET roles</t>
  </si>
  <si>
    <t>ROLE-02</t>
  </si>
  <si>
    <t>Create custom role</t>
  </si>
  <si>
    <t>GROWTH</t>
  </si>
  <si>
    <t>POST name Cashier tokens pos:access sales:access</t>
  </si>
  <si>
    <t>201; tokens normalized</t>
  </si>
  <si>
    <t>POST roles + normalizeDashboardPermissions</t>
  </si>
  <si>
    <t>ROLE-03</t>
  </si>
  <si>
    <t>Create role on STARTER</t>
  </si>
  <si>
    <t>STARTER owner</t>
  </si>
  <si>
    <t>STARTER plan</t>
  </si>
  <si>
    <t>POST custom role</t>
  </si>
  <si>
    <t>403 Custom roles and permission presets</t>
  </si>
  <si>
    <t>roleBasedSettings false</t>
  </si>
  <si>
    <t>ROLE-04</t>
  </si>
  <si>
    <t>Invalid tokens dropped</t>
  </si>
  <si>
    <t>POST foo:bar and product:edit</t>
  </si>
  <si>
    <t>Only product:access + product:edit stored</t>
  </si>
  <si>
    <t>normalizeDashboardPermissions</t>
  </si>
  <si>
    <t>ROLE-05</t>
  </si>
  <si>
    <t>Delete implies edit+access</t>
  </si>
  <si>
    <t>Enable product:delete</t>
  </si>
  <si>
    <t>Stores product:access edit delete</t>
  </si>
  <si>
    <t>toggleModuleAction</t>
  </si>
  <si>
    <t>ROLE-06</t>
  </si>
  <si>
    <t>Access off clears edit+delete</t>
  </si>
  <si>
    <t>Disable product:access</t>
  </si>
  <si>
    <t>edit+delete cleared</t>
  </si>
  <si>
    <t>ROLE-07</t>
  </si>
  <si>
    <t>Edit off clears delete</t>
  </si>
  <si>
    <t>Disable product:edit</t>
  </si>
  <si>
    <t>delete cleared; access can remain</t>
  </si>
  <si>
    <t>ROLE-08</t>
  </si>
  <si>
    <t>Rename role</t>
  </si>
  <si>
    <t>Custom role</t>
  </si>
  <si>
    <t>PATCH name</t>
  </si>
  <si>
    <t>Name updates</t>
  </si>
  <si>
    <t>PATCH roles/[id]</t>
  </si>
  <si>
    <t>ROLE-09</t>
  </si>
  <si>
    <t>Change permissions on STARTER</t>
  </si>
  <si>
    <t>STARTER</t>
  </si>
  <si>
    <t>PATCH permissions</t>
  </si>
  <si>
    <t>403 Per-role dashboard permissions</t>
  </si>
  <si>
    <t>plan gate on permissions field</t>
  </si>
  <si>
    <t>ROLE-10</t>
  </si>
  <si>
    <t>Empty PATCH</t>
  </si>
  <si>
    <t>Valid role</t>
  </si>
  <si>
    <t>PATCH with no name/permissions</t>
  </si>
  <si>
    <t>400 Nothing to update</t>
  </si>
  <si>
    <t>patchSchema</t>
  </si>
  <si>
    <t>ROLE-11</t>
  </si>
  <si>
    <t>Delete unused custom role</t>
  </si>
  <si>
    <t>settings:delete; unused</t>
  </si>
  <si>
    <t>DELETE role</t>
  </si>
  <si>
    <t>200</t>
  </si>
  <si>
    <t>DELETE roles/[id]</t>
  </si>
  <si>
    <t>ROLE-12</t>
  </si>
  <si>
    <t>Cannot delete Owner/Admin presets</t>
  </si>
  <si>
    <t>Preset role</t>
  </si>
  <si>
    <t>DELETE owner or admin</t>
  </si>
  <si>
    <t>403 Preset roles cannot be deleted</t>
  </si>
  <si>
    <t>slug owner/admin</t>
  </si>
  <si>
    <t>ROLE-13</t>
  </si>
  <si>
    <t>Cannot delete role in use</t>
  </si>
  <si>
    <t>Cashier assigned</t>
  </si>
  <si>
    <t>DELETE cashier role</t>
  </si>
  <si>
    <t>409 with employee count</t>
  </si>
  <si>
    <t>employee.count</t>
  </si>
  <si>
    <t>ROLE-14</t>
  </si>
  <si>
    <t>Other restaurant roleId</t>
  </si>
  <si>
    <t>roleId from B</t>
  </si>
  <si>
    <t>PATCH/DELETE</t>
  </si>
  <si>
    <t>404 Role not found</t>
  </si>
  <si>
    <t>restaurantId scope</t>
  </si>
  <si>
    <t>ROLE-15</t>
  </si>
  <si>
    <t>Legacy orders:* grants Sales</t>
  </si>
  <si>
    <t>Role has orders:access only</t>
  </si>
  <si>
    <t>Open /sales</t>
  </si>
  <si>
    <t>Sales nav/page allowed</t>
  </si>
  <si>
    <t>SALES_MODULE_ALIASES</t>
  </si>
  <si>
    <t>RBAC-A-POS</t>
  </si>
  <si>
    <t>RBAC matrix</t>
  </si>
  <si>
    <t>POS access only cannot mutate</t>
  </si>
  <si>
    <t>Cashier access-only</t>
  </si>
  <si>
    <t>pos:access only</t>
  </si>
  <si>
    <t>Open /pos; try place order</t>
  </si>
  <si>
    <t>Page OK; mutating API 403</t>
  </si>
  <si>
    <t>pos:edit required</t>
  </si>
  <si>
    <t>RBAC-E-POS</t>
  </si>
  <si>
    <t>POS edit implies access</t>
  </si>
  <si>
    <t>POS editor</t>
  </si>
  <si>
    <t>pos:edit only in DB</t>
  </si>
  <si>
    <t>Open /pos</t>
  </si>
  <si>
    <t>Page opens (implied access)</t>
  </si>
  <si>
    <t>normalize + canAccessDashboardModule</t>
  </si>
  <si>
    <t>RBAC-D-POS</t>
  </si>
  <si>
    <t>POS delete implies edit+access</t>
  </si>
  <si>
    <t>POS manager</t>
  </si>
  <si>
    <t>pos:delete only</t>
  </si>
  <si>
    <t>View + pay + cancel</t>
  </si>
  <si>
    <t>All POS actions allowed</t>
  </si>
  <si>
    <t>delete⇒edit⇒access</t>
  </si>
  <si>
    <t>RBAC-N-POS</t>
  </si>
  <si>
    <t>No POS token</t>
  </si>
  <si>
    <t>Kitchen</t>
  </si>
  <si>
    <t>No pos:*</t>
  </si>
  <si>
    <t>layout allowedModuleKeys</t>
  </si>
  <si>
    <t>RBAC-A-PRODUCT</t>
  </si>
  <si>
    <t>Product access only</t>
  </si>
  <si>
    <t>Viewer</t>
  </si>
  <si>
    <t>product:access only</t>
  </si>
  <si>
    <t>Open /product; try create</t>
  </si>
  <si>
    <t>List OK; POST 403</t>
  </si>
  <si>
    <t>product:edit</t>
  </si>
  <si>
    <t>RBAC-N-PRODUCT</t>
  </si>
  <si>
    <t>No product token</t>
  </si>
  <si>
    <t>No product:*</t>
  </si>
  <si>
    <t>Open /product</t>
  </si>
  <si>
    <t>layout guard</t>
  </si>
  <si>
    <t>RBAC-A-SETTINGS</t>
  </si>
  <si>
    <t>Settings access cannot invite</t>
  </si>
  <si>
    <t>Open Access; submit invite</t>
  </si>
  <si>
    <t>UI may show; POST 403</t>
  </si>
  <si>
    <t>RBAC-E-SETTINGS</t>
  </si>
  <si>
    <t>Settings edit cannot delete user</t>
  </si>
  <si>
    <t>Editor</t>
  </si>
  <si>
    <t>Invite OK; remove employee</t>
  </si>
  <si>
    <t>DELETE 403</t>
  </si>
  <si>
    <t>RBAC-N-SETTINGS</t>
  </si>
  <si>
    <t>No settings token</t>
  </si>
  <si>
    <t>No settings:*</t>
  </si>
  <si>
    <t>layout</t>
  </si>
  <si>
    <t>RBAC-NAV</t>
  </si>
  <si>
    <t>Sidebar hides unauthorized modules</t>
  </si>
  <si>
    <t>pos+sales only</t>
  </si>
  <si>
    <t>View sidebar</t>
  </si>
  <si>
    <t>Only POS and Sales (and dashboard exception)</t>
  </si>
  <si>
    <t>RBAC-DASH</t>
  </si>
  <si>
    <t>/dashboard exception</t>
  </si>
  <si>
    <t>No dashboard token</t>
  </si>
  <si>
    <t>Missing dashboard:*</t>
  </si>
  <si>
    <t>Open /dashboard</t>
  </si>
  <si>
    <t>Not sent to /no-access (path skipped)</t>
  </si>
  <si>
    <t>layout pathname==='/dashboard'</t>
  </si>
  <si>
    <t>RBAC-STARTER-REC</t>
  </si>
  <si>
    <t>STARTER hides Configurations nav</t>
  </si>
  <si>
    <t>recommendations false</t>
  </si>
  <si>
    <t>Configurations hidden even if role has tokens</t>
  </si>
  <si>
    <t>hideRecommendations</t>
  </si>
  <si>
    <t>RBAC-SALES</t>
  </si>
  <si>
    <t>Sales access</t>
  </si>
  <si>
    <t>sales:access</t>
  </si>
  <si>
    <t>List orders; writes 403 if no edit</t>
  </si>
  <si>
    <t>sales module</t>
  </si>
  <si>
    <t>RBAC-KDS</t>
  </si>
  <si>
    <t>KDS access</t>
  </si>
  <si>
    <t>kds:access</t>
  </si>
  <si>
    <t>Open /kds</t>
  </si>
  <si>
    <t>Tickets visible</t>
  </si>
  <si>
    <t>kds module</t>
  </si>
  <si>
    <t>RBAC-KDS-N</t>
  </si>
  <si>
    <t>KDS denied</t>
  </si>
  <si>
    <t>No kds:*</t>
  </si>
  <si>
    <t>RBAC-OD</t>
  </si>
  <si>
    <t>Order display</t>
  </si>
  <si>
    <t>order-display:access</t>
  </si>
  <si>
    <t>Open /order-display</t>
  </si>
  <si>
    <t>Screen loads</t>
  </si>
  <si>
    <t>order-display module</t>
  </si>
  <si>
    <t>RBAC-BRANCH</t>
  </si>
  <si>
    <t>Branches access vs edit</t>
  </si>
  <si>
    <t>Host</t>
  </si>
  <si>
    <t>branched:access only</t>
  </si>
  <si>
    <t>Open /branched; create branch</t>
  </si>
  <si>
    <t>branched:edit</t>
  </si>
  <si>
    <t>RBAC-TABLES</t>
  </si>
  <si>
    <t>Tables access vs delete</t>
  </si>
  <si>
    <t>tables:access only</t>
  </si>
  <si>
    <t>Delete table</t>
  </si>
  <si>
    <t>tables:delete</t>
  </si>
  <si>
    <t>RBAC-CAT</t>
  </si>
  <si>
    <t>Categories CRUD</t>
  </si>
  <si>
    <t>Menu editor</t>
  </si>
  <si>
    <t>categories:*</t>
  </si>
  <si>
    <t>Create/edit/delete category</t>
  </si>
  <si>
    <t>All succeed</t>
  </si>
  <si>
    <t>categories APIs</t>
  </si>
  <si>
    <t>RBAC-VAR</t>
  </si>
  <si>
    <t>Variations CRUD</t>
  </si>
  <si>
    <t>variations:*</t>
  </si>
  <si>
    <t>Create/edit/delete</t>
  </si>
  <si>
    <t>variations APIs</t>
  </si>
  <si>
    <t>RBAC-INV</t>
  </si>
  <si>
    <t>Inventory clerk</t>
  </si>
  <si>
    <t>Inventory</t>
  </si>
  <si>
    <t>inventory:* only</t>
  </si>
  <si>
    <t>Stock in/out; open /product</t>
  </si>
  <si>
    <t>Inventory OK; product no-access</t>
  </si>
  <si>
    <t>module isolation</t>
  </si>
  <si>
    <t>RBAC-REC</t>
  </si>
  <si>
    <t>Recommendations GROWTH</t>
  </si>
  <si>
    <t>recommendations:*; GROWTH</t>
  </si>
  <si>
    <t>Open /configurations</t>
  </si>
  <si>
    <t>Allowed</t>
  </si>
  <si>
    <t>recommendations module</t>
  </si>
  <si>
    <t>RBAC-REC-API</t>
  </si>
  <si>
    <t>Recommendation API STARTER</t>
  </si>
  <si>
    <t>Any role</t>
  </si>
  <si>
    <t>POST attribute group</t>
  </si>
  <si>
    <t>403 plan denied</t>
  </si>
  <si>
    <t>subscriptionPlanDeniedResponse</t>
  </si>
  <si>
    <t>RBAC-FIN</t>
  </si>
  <si>
    <t>Records access</t>
  </si>
  <si>
    <t>records:access</t>
  </si>
  <si>
    <t>Open /records</t>
  </si>
  <si>
    <t>History visible</t>
  </si>
  <si>
    <t>records module</t>
  </si>
  <si>
    <t>PROF-01</t>
  </si>
  <si>
    <t>Role profile</t>
  </si>
  <si>
    <t>Cashier E2E</t>
  </si>
  <si>
    <t>pos+sales role</t>
  </si>
  <si>
    <t>POS sale then open /product</t>
  </si>
  <si>
    <t>Sale OK; product no-access</t>
  </si>
  <si>
    <t>profile</t>
  </si>
  <si>
    <t>PROF-02</t>
  </si>
  <si>
    <t>Kitchen E2E</t>
  </si>
  <si>
    <t>kds+order-display</t>
  </si>
  <si>
    <t>Complete ticket then open /pos</t>
  </si>
  <si>
    <t>KDS OK; POS no-access</t>
  </si>
  <si>
    <t>PROF-03</t>
  </si>
  <si>
    <t>Menu editor E2E</t>
  </si>
  <si>
    <t>catalog modules</t>
  </si>
  <si>
    <t>Create product; open /settings</t>
  </si>
  <si>
    <t>Catalog OK; settings no-access</t>
  </si>
  <si>
    <t>PROF-04</t>
  </si>
  <si>
    <t>Viewer E2E</t>
  </si>
  <si>
    <t>all :access only</t>
  </si>
  <si>
    <t>Open pages; click Save</t>
  </si>
  <si>
    <t>GET 200; PATCH 403</t>
  </si>
  <si>
    <t>PROF-05</t>
  </si>
  <si>
    <t>Role change without re-login</t>
  </si>
  <si>
    <t>Cashier→Kitchen</t>
  </si>
  <si>
    <t>Change role while logged in</t>
  </si>
  <si>
    <t>Refresh / bootstrap</t>
  </si>
  <si>
    <t>Nav and APIs match new role</t>
  </si>
  <si>
    <t>/api/me/bootstrap</t>
  </si>
  <si>
    <t>PLAN-01</t>
  </si>
  <si>
    <t>Plan gating</t>
  </si>
  <si>
    <t>STARTER hides Access UI</t>
  </si>
  <si>
    <t>Open Settings</t>
  </si>
  <si>
    <t>Access section hidden/redirected to Basic</t>
  </si>
  <si>
    <t>setting.tsx roleBasedSettings</t>
  </si>
  <si>
    <t>PLAN-02</t>
  </si>
  <si>
    <t>STARTER cannot create custom role</t>
  </si>
  <si>
    <t>POST /api/restaurant/roles</t>
  </si>
  <si>
    <t>roleBasedSettings</t>
  </si>
  <si>
    <t>PLAN-03</t>
  </si>
  <si>
    <t>STARTER cannot invite custom role</t>
  </si>
  <si>
    <t>Cashier role exists leftover</t>
  </si>
  <si>
    <t>Invite cashier</t>
  </si>
  <si>
    <t>403 Inviting team members with custom roles</t>
  </si>
  <si>
    <t>only Admin slug allowed</t>
  </si>
  <si>
    <t>PLAN-04</t>
  </si>
  <si>
    <t>STARTER can invite Admin via API</t>
  </si>
  <si>
    <t>Admin role</t>
  </si>
  <si>
    <t>POST employee Admin</t>
  </si>
  <si>
    <t>Allowed by API</t>
  </si>
  <si>
    <t>slug===admin</t>
  </si>
  <si>
    <t>PLAN-05</t>
  </si>
  <si>
    <t>STARTER cannot assign custom role</t>
  </si>
  <si>
    <t>Existing cashier</t>
  </si>
  <si>
    <t>PATCH to custom role</t>
  </si>
  <si>
    <t>Assigning custom roles…</t>
  </si>
  <si>
    <t>PLAN-06</t>
  </si>
  <si>
    <t>STARTER cannot PATCH role permissions</t>
  </si>
  <si>
    <t>Admin/Owner role</t>
  </si>
  <si>
    <t>PATCH permissions array</t>
  </si>
  <si>
    <t>plan gate</t>
  </si>
  <si>
    <t>PLAN-07</t>
  </si>
  <si>
    <t>Upgrade GROWTH unlocks roles</t>
  </si>
  <si>
    <t>Former STARTER</t>
  </si>
  <si>
    <t>Upgraded</t>
  </si>
  <si>
    <t>Create Cashier + invite</t>
  </si>
  <si>
    <t>Works</t>
  </si>
  <si>
    <t>roleBasedSettings true</t>
  </si>
  <si>
    <t>PLAN-08</t>
  </si>
  <si>
    <t>Downgrade STARTER leftover cashiers</t>
  </si>
  <si>
    <t>GROWTH→STARTER</t>
  </si>
  <si>
    <t>Cashiers exist</t>
  </si>
  <si>
    <t>Cashiers still login; Access UI hidden; cannot create new customs</t>
  </si>
  <si>
    <t>Leftover employees keep tokens</t>
  </si>
  <si>
    <t>OWN-01</t>
  </si>
  <si>
    <t>Owner vs Admin</t>
  </si>
  <si>
    <t>Account owner always full</t>
  </si>
  <si>
    <t>Even if role tokens stale</t>
  </si>
  <si>
    <t>Use all modules</t>
  </si>
  <si>
    <t>All allowed</t>
  </si>
  <si>
    <t>ownerId short-circuit</t>
  </si>
  <si>
    <t>OWN-02</t>
  </si>
  <si>
    <t>Preset Admin is full via role rows</t>
  </si>
  <si>
    <t>Admin employee</t>
  </si>
  <si>
    <t>Not ownerId</t>
  </si>
  <si>
    <t>Full nav</t>
  </si>
  <si>
    <t>seeded full permissions</t>
  </si>
  <si>
    <t>OWN-03</t>
  </si>
  <si>
    <t>Strip Admin role in DB</t>
  </si>
  <si>
    <t>Permissions emptied</t>
  </si>
  <si>
    <t>Refresh</t>
  </si>
  <si>
    <t>Admin loses modules (unlike owner)</t>
  </si>
  <si>
    <t>uses role.permissions</t>
  </si>
  <si>
    <t>OWN-04</t>
  </si>
  <si>
    <t>Admin cannot remove owner</t>
  </si>
  <si>
    <t>owner guard</t>
  </si>
  <si>
    <t>OWN-05</t>
  </si>
  <si>
    <t>Admin can invite/remove cashiers</t>
  </si>
  <si>
    <t>Preset Admin</t>
  </si>
  <si>
    <t>Invite and remove cashier</t>
  </si>
  <si>
    <t>Succeeds</t>
  </si>
  <si>
    <t>full settings tokens</t>
  </si>
  <si>
    <t>OWN-06</t>
  </si>
  <si>
    <t>Admin can switch all branches</t>
  </si>
  <si>
    <t>Switcher in header</t>
  </si>
  <si>
    <t>All branches listed</t>
  </si>
  <si>
    <t>OWN-07</t>
  </si>
  <si>
    <t>Almost-admin without settings</t>
  </si>
  <si>
    <t>Custom full except settings</t>
  </si>
  <si>
    <t>Open Access UI</t>
  </si>
  <si>
    <t>/settings → no-access</t>
  </si>
  <si>
    <t>RBAC</t>
  </si>
  <si>
    <t>CUS-01</t>
  </si>
  <si>
    <t>Customer users</t>
  </si>
  <si>
    <t>Register on storefront</t>
  </si>
  <si>
    <t>Restaurant slug</t>
  </si>
  <si>
    <t>Register email/password</t>
  </si>
  <si>
    <t>CustomerAccount created for that restaurant</t>
  </si>
  <si>
    <t>unique restaurantId+emailNormalized</t>
  </si>
  <si>
    <t>CUS-02</t>
  </si>
  <si>
    <t>Same email two restaurants</t>
  </si>
  <si>
    <t>Two restaurants</t>
  </si>
  <si>
    <t>Register same email on both</t>
  </si>
  <si>
    <t>Two separate accounts</t>
  </si>
  <si>
    <t>composite unique</t>
  </si>
  <si>
    <t>CUS-03</t>
  </si>
  <si>
    <t>Customer Google login</t>
  </si>
  <si>
    <t>Google customer OAuth</t>
  </si>
  <si>
    <t>Login on storefront</t>
  </si>
  <si>
    <t>customer-auth/google; not staff dashboard</t>
  </si>
  <si>
    <t>middleware rewrite callback</t>
  </si>
  <si>
    <t>CUS-04</t>
  </si>
  <si>
    <t>Customer opens /dashboard</t>
  </si>
  <si>
    <t>No staff User</t>
  </si>
  <si>
    <t>Redirect /login</t>
  </si>
  <si>
    <t>middleware</t>
  </si>
  <si>
    <t>CUS-05</t>
  </si>
  <si>
    <t>Disabled customer</t>
  </si>
  <si>
    <t>disabledAt set</t>
  </si>
  <si>
    <t>Login fails</t>
  </si>
  <si>
    <t>disabledAt</t>
  </si>
  <si>
    <t>CUS-06</t>
  </si>
  <si>
    <t>Guest vs logged-in order owner</t>
  </si>
  <si>
    <t>Guest then customer</t>
  </si>
  <si>
    <t>Place both orders</t>
  </si>
  <si>
    <t>Guest customerAccountId null; logged-in set</t>
  </si>
  <si>
    <t>Order model</t>
  </si>
  <si>
    <t>Order.customerAccountId</t>
  </si>
  <si>
    <t>CUS-07</t>
  </si>
  <si>
    <t>Customer cannot list employees</t>
  </si>
  <si>
    <t>Customer session</t>
  </si>
  <si>
    <t>Call GET /api/restaurant/employees</t>
  </si>
  <si>
    <t>401/403</t>
  </si>
  <si>
    <t>staff session required</t>
  </si>
  <si>
    <t>SEC-U-01</t>
  </si>
  <si>
    <t>Security</t>
  </si>
  <si>
    <t>Unauthenticated GET employees</t>
  </si>
  <si>
    <t>401</t>
  </si>
  <si>
    <t>require session</t>
  </si>
  <si>
    <t>SEC-U-02</t>
  </si>
  <si>
    <t>Cannot list other restaurant team</t>
  </si>
  <si>
    <t>Restaurant B exists</t>
  </si>
  <si>
    <t>GET employees</t>
  </si>
  <si>
    <t>Only restaurant A rows</t>
  </si>
  <si>
    <t>getRestaurantIdForRequest</t>
  </si>
  <si>
    <t>SEC-U-03</t>
  </si>
  <si>
    <t>Forge other restaurant roleId on invite</t>
  </si>
  <si>
    <t>POST invite</t>
  </si>
  <si>
    <t>400 Role not found for this restaurant</t>
  </si>
  <si>
    <t>SEC-U-04</t>
  </si>
  <si>
    <t>Forge other restaurant branchIds</t>
  </si>
  <si>
    <t>branchId from B</t>
  </si>
  <si>
    <t>Invite/PATCH branches</t>
  </si>
  <si>
    <t>Only valid restaurant branches saved</t>
  </si>
  <si>
    <t>syncEmployeeBranches filters</t>
  </si>
  <si>
    <t>SEC-U-05</t>
  </si>
  <si>
    <t>Accept someone else invite token</t>
  </si>
  <si>
    <t>Other user</t>
  </si>
  <si>
    <t>Valid token for other email</t>
  </si>
  <si>
    <t>403 wrong email</t>
  </si>
  <si>
    <t>email match</t>
  </si>
  <si>
    <t>SEC-U-06</t>
  </si>
  <si>
    <t>Staff session ≠ customer session</t>
  </si>
  <si>
    <t>Both accounts</t>
  </si>
  <si>
    <t>Same browser</t>
  </si>
  <si>
    <t>Logout staff; customer cookie remains independent</t>
  </si>
  <si>
    <t>Separate cookies</t>
  </si>
  <si>
    <t>NextAuth vs CustomerSession</t>
  </si>
  <si>
    <t>XC-01</t>
  </si>
  <si>
    <t>Cross-cutting</t>
  </si>
  <si>
    <t>Unauthenticated dashboard</t>
  </si>
  <si>
    <t>Open /dashboard /pos /admin</t>
  </si>
  <si>
    <t>XC-02</t>
  </si>
  <si>
    <t>Non-admin hits admin</t>
  </si>
  <si>
    <t>Redirect /</t>
  </si>
  <si>
    <t>XC-03</t>
  </si>
  <si>
    <t>Missing module permission</t>
  </si>
  <si>
    <t>No product:access</t>
  </si>
  <si>
    <t>/no-access or API Access Blocked</t>
  </si>
  <si>
    <t>permissionName</t>
  </si>
  <si>
    <t>XC-04</t>
  </si>
  <si>
    <t>product:delete only</t>
  </si>
  <si>
    <t>Use product module</t>
  </si>
  <si>
    <t>Can view edit delete</t>
  </si>
  <si>
    <t>XC-05</t>
  </si>
  <si>
    <t>Edit implies access</t>
  </si>
  <si>
    <t>product:edit only</t>
  </si>
  <si>
    <t>View+edit; cannot delete</t>
  </si>
  <si>
    <t>same</t>
  </si>
  <si>
    <t>XC-06</t>
  </si>
  <si>
    <t>Access only</t>
  </si>
  <si>
    <t>Create/update/delete</t>
  </si>
  <si>
    <t>Writes 403</t>
  </si>
  <si>
    <t>action edit/delete</t>
  </si>
  <si>
    <t>XC-07</t>
  </si>
  <si>
    <t>Tenant isolation</t>
  </si>
  <si>
    <t>Restaurant B ids</t>
  </si>
  <si>
    <t>Hit B resource ids</t>
  </si>
  <si>
    <t>404 / Access Blocked</t>
  </si>
  <si>
    <t>getRestaurantForUser</t>
  </si>
  <si>
    <t>XC-08</t>
  </si>
  <si>
    <t>Branch cookie scope</t>
  </si>
  <si>
    <t>Assigned Branch 1</t>
  </si>
  <si>
    <t>Switch/forge other branch</t>
  </si>
  <si>
    <t>Other branches hidden; orders scoped</t>
  </si>
  <si>
    <t>/api/me/active-branch EmployeeBranch</t>
  </si>
  <si>
    <t>XC-09</t>
  </si>
  <si>
    <t>Subscription expired</t>
  </si>
  <si>
    <t>Expired owner</t>
  </si>
  <si>
    <t>Trial/period ended</t>
  </si>
  <si>
    <t>Open dashboard</t>
  </si>
  <si>
    <t>Blocked / pricing</t>
  </si>
  <si>
    <t>evaluateSubscriptionAccess</t>
  </si>
  <si>
    <t>XC-10</t>
  </si>
  <si>
    <t>Plan feature denied</t>
  </si>
  <si>
    <t>Save logo or recommendation</t>
  </si>
  <si>
    <t>403 plan-denied</t>
  </si>
  <si>
    <t>XC-11</t>
  </si>
  <si>
    <t>SSE live updates</t>
  </si>
  <si>
    <t>POS+KDS users</t>
  </si>
  <si>
    <t>Two browsers</t>
  </si>
  <si>
    <t>Place POS order</t>
  </si>
  <si>
    <t>KDS updates without refresh</t>
  </si>
  <si>
    <t>/api/restaurant/realtime/stream</t>
  </si>
  <si>
    <t>XC-12</t>
  </si>
  <si>
    <t>Legacy storefront URL</t>
  </si>
  <si>
    <t>Open /web-app/{slug}</t>
  </si>
  <si>
    <t>308 redirect</t>
  </si>
  <si>
    <t>legacyWebAppRedirectPath</t>
  </si>
  <si>
    <t>XC-13</t>
  </si>
  <si>
    <t>Subdomain rewrite</t>
  </si>
  <si>
    <t>slug.localhost</t>
  </si>
  <si>
    <t>Open /</t>
  </si>
  <si>
    <t>Rewrites to /{slug}</t>
  </si>
  <si>
    <t>getSubdomainFromHost</t>
  </si>
  <si>
    <t>XC-14</t>
  </si>
  <si>
    <t>Customer Google OAuth rewrite</t>
  </si>
  <si>
    <t>Customer Google state</t>
  </si>
  <si>
    <t>Hit /api/auth/callback/google</t>
  </si>
  <si>
    <t>Rewrite to customer-auth callback</t>
  </si>
  <si>
    <t>middleware Google state</t>
  </si>
  <si>
    <t>MKT-01</t>
  </si>
  <si>
    <t>Marketing</t>
  </si>
  <si>
    <t>Landing loads</t>
  </si>
  <si>
    <t>Hero pricing FAQ newsletter</t>
  </si>
  <si>
    <t>(saas) routes</t>
  </si>
  <si>
    <t>MKT-02</t>
  </si>
  <si>
    <t>Newsletter subscribe</t>
  </si>
  <si>
    <t>Submit email</t>
  </si>
  <si>
    <t>Success; duplicate already</t>
  </si>
  <si>
    <t>POST /api/newsletter/subscribe</t>
  </si>
  <si>
    <t>MKT-03</t>
  </si>
  <si>
    <t>Newsletter invalid email</t>
  </si>
  <si>
    <t>Bad email</t>
  </si>
  <si>
    <t>Validation error</t>
  </si>
  <si>
    <t>MKT-04</t>
  </si>
  <si>
    <t>Demo request</t>
  </si>
  <si>
    <t>Submit demo form</t>
  </si>
  <si>
    <t>Saved; appears in /admin/requests</t>
  </si>
  <si>
    <t>POST /api/demo-request</t>
  </si>
  <si>
    <t>MKT-05</t>
  </si>
  <si>
    <t>Pricing plans</t>
  </si>
  <si>
    <t>Open /pricing</t>
  </si>
  <si>
    <t>STARTER/GROWTH/SCALE features match</t>
  </si>
  <si>
    <t>GET /api/pricing-plans</t>
  </si>
  <si>
    <t>MKT-06</t>
  </si>
  <si>
    <t>Blog published only</t>
  </si>
  <si>
    <t>Open /blog and slug</t>
  </si>
  <si>
    <t>Published posts only</t>
  </si>
  <si>
    <t>BlogPost</t>
  </si>
  <si>
    <t>MKT-07</t>
  </si>
  <si>
    <t>Docs nested pages</t>
  </si>
  <si>
    <t>Open documentation tree</t>
  </si>
  <si>
    <t>Headings/modules render</t>
  </si>
  <si>
    <t>DocumentationHeading</t>
  </si>
  <si>
    <t>MKT-08</t>
  </si>
  <si>
    <t>Contact form</t>
  </si>
  <si>
    <t>Submit contact</t>
  </si>
  <si>
    <t>Success / validation</t>
  </si>
  <si>
    <t>POST /api/contact</t>
  </si>
  <si>
    <t>MKT-09</t>
  </si>
  <si>
    <t>Legal pages</t>
  </si>
  <si>
    <t>Open privacy refund policies</t>
  </si>
  <si>
    <t>Pages load</t>
  </si>
  <si>
    <t>static saas</t>
  </si>
  <si>
    <t>AUTH-01</t>
  </si>
  <si>
    <t>Auth</t>
  </si>
  <si>
    <t>Email login valid</t>
  </si>
  <si>
    <t>Password ≥ 8</t>
  </si>
  <si>
    <t>JWT session dashboard</t>
  </si>
  <si>
    <t>CredentialsProvider</t>
  </si>
  <si>
    <t>AUTH-02</t>
  </si>
  <si>
    <t>Bad password</t>
  </si>
  <si>
    <t>No session</t>
  </si>
  <si>
    <t>authorize null</t>
  </si>
  <si>
    <t>AUTH-03</t>
  </si>
  <si>
    <t>Unknown email</t>
  </si>
  <si>
    <t>Login unknown</t>
  </si>
  <si>
    <t>Same generic fail</t>
  </si>
  <si>
    <t>no enumeration</t>
  </si>
  <si>
    <t>AUTH-04</t>
  </si>
  <si>
    <t>Password too short</t>
  </si>
  <si>
    <t>&lt; 8 chars</t>
  </si>
  <si>
    <t>Client+Zod reject</t>
  </si>
  <si>
    <t>credentialsSchema</t>
  </si>
  <si>
    <t>AUTH-05</t>
  </si>
  <si>
    <t>Google existing user</t>
  </si>
  <si>
    <t>Existing email</t>
  </si>
  <si>
    <t>Google login</t>
  </si>
  <si>
    <t>Signs in no new user</t>
  </si>
  <si>
    <t>Google provider</t>
  </si>
  <si>
    <t>AUTH-06</t>
  </si>
  <si>
    <t>Google new user</t>
  </si>
  <si>
    <t>Creates User pending role</t>
  </si>
  <si>
    <t>signIn callback</t>
  </si>
  <si>
    <t>AUTH-07</t>
  </si>
  <si>
    <t>Register OWNER</t>
  </si>
  <si>
    <t>New user</t>
  </si>
  <si>
    <t>Pick owner signup</t>
  </si>
  <si>
    <t>Then onboarding</t>
  </si>
  <si>
    <t>POST /api/auth/signup</t>
  </si>
  <si>
    <t>AUTH-08</t>
  </si>
  <si>
    <t>Register WORKER</t>
  </si>
  <si>
    <t>Worker role</t>
  </si>
  <si>
    <t>Wait for invite/role page</t>
  </si>
  <si>
    <t>AUTH-09</t>
  </si>
  <si>
    <t>Duplicate email register</t>
  </si>
  <si>
    <t>Email exists</t>
  </si>
  <si>
    <t>Signup</t>
  </si>
  <si>
    <t>Error no second user</t>
  </si>
  <si>
    <t>User.email unique</t>
  </si>
  <si>
    <t>AUTH-10</t>
  </si>
  <si>
    <t>Role picker UNKNOW</t>
  </si>
  <si>
    <t>Google user</t>
  </si>
  <si>
    <t>role UNKNOW</t>
  </si>
  <si>
    <t>Open /role pick OWNER/WORKER</t>
  </si>
  <si>
    <t>Role updated</t>
  </si>
  <si>
    <t>POST /api/auth/role</t>
  </si>
  <si>
    <t>AUTH-11</t>
  </si>
  <si>
    <t>Onboarding step 1</t>
  </si>
  <si>
    <t>Pending owner</t>
  </si>
  <si>
    <t>Name slug subdomain</t>
  </si>
  <si>
    <t>Restaurant created</t>
  </si>
  <si>
    <t>POST /api/onboarding/step1</t>
  </si>
  <si>
    <t>AUTH-12</t>
  </si>
  <si>
    <t>Duplicate slug/subdomain</t>
  </si>
  <si>
    <t>Taken slug</t>
  </si>
  <si>
    <t>Submit</t>
  </si>
  <si>
    <t>Unique error</t>
  </si>
  <si>
    <t>Restaurant.slug unique</t>
  </si>
  <si>
    <t>AUTH-13</t>
  </si>
  <si>
    <t>Onboarding step 2</t>
  </si>
  <si>
    <t>Step 1 done</t>
  </si>
  <si>
    <t>Branch hours slot 15/30/60</t>
  </si>
  <si>
    <t>Branch saved</t>
  </si>
  <si>
    <t>PATCH /api/onboarding/step2</t>
  </si>
  <si>
    <t>AUTH-14</t>
  </si>
  <si>
    <t>Onboarding step 3</t>
  </si>
  <si>
    <t>Step 2 done</t>
  </si>
  <si>
    <t>Finish</t>
  </si>
  <si>
    <t>Dashboard; trial subscription</t>
  </si>
  <si>
    <t>POST /api/onboarding/step3</t>
  </si>
  <si>
    <t>AUTH-15</t>
  </si>
  <si>
    <t>Reset password</t>
  </si>
  <si>
    <t>Request and reset</t>
  </si>
  <si>
    <t>Works; expired token fails</t>
  </si>
  <si>
    <t>reset-password</t>
  </si>
  <si>
    <t>AUTH-16</t>
  </si>
  <si>
    <t>Employee invite email</t>
  </si>
  <si>
    <t>Pending invite</t>
  </si>
  <si>
    <t>POST /api/restaurant/employees</t>
  </si>
  <si>
    <t>AUTH-17</t>
  </si>
  <si>
    <t>Accept invite logged in</t>
  </si>
  <si>
    <t>Invited</t>
  </si>
  <si>
    <t>Accept</t>
  </si>
  <si>
    <t>Employee+role+branches</t>
  </si>
  <si>
    <t>POST invites/accept</t>
  </si>
  <si>
    <t>AUTH-18</t>
  </si>
  <si>
    <t>Accept invite new user</t>
  </si>
  <si>
    <t>New</t>
  </si>
  <si>
    <t>Invite to new email</t>
  </si>
  <si>
    <t>Register then accept</t>
  </si>
  <si>
    <t>Linked to restaurant</t>
  </si>
  <si>
    <t>accept</t>
  </si>
  <si>
    <t>AUTH-19</t>
  </si>
  <si>
    <t>Verify invite invalid</t>
  </si>
  <si>
    <t>Bad token</t>
  </si>
  <si>
    <t>Open invite</t>
  </si>
  <si>
    <t>Error</t>
  </si>
  <si>
    <t>GET invites/verify</t>
  </si>
  <si>
    <t>AUTH-20</t>
  </si>
  <si>
    <t>Revoke invite</t>
  </si>
  <si>
    <t>Delete pending</t>
  </si>
  <si>
    <t>Accept fails</t>
  </si>
  <si>
    <t>DELETE invites/[id]</t>
  </si>
  <si>
    <t>AUTH-21</t>
  </si>
  <si>
    <t>Logout</t>
  </si>
  <si>
    <t>Protected routes redirect</t>
  </si>
  <si>
    <t>NextAuth</t>
  </si>
  <si>
    <t>SUB-01</t>
  </si>
  <si>
    <t>Subscription</t>
  </si>
  <si>
    <t>Trial active</t>
  </si>
  <si>
    <t>TRIAL future end</t>
  </si>
  <si>
    <t>Allowed; warning if ≤3 days</t>
  </si>
  <si>
    <t>evaluateSubscriptionAccess TRIAL</t>
  </si>
  <si>
    <t>SUB-02</t>
  </si>
  <si>
    <t>Trial expired</t>
  </si>
  <si>
    <t>trialEndsAt past</t>
  </si>
  <si>
    <t>Blocked trial_expired</t>
  </si>
  <si>
    <t>SUB-03</t>
  </si>
  <si>
    <t>ACTIVE within period</t>
  </si>
  <si>
    <t>ACTIVE</t>
  </si>
  <si>
    <t>Allowed; warning ≤3 days</t>
  </si>
  <si>
    <t>currentPeriodEnd</t>
  </si>
  <si>
    <t>SUB-04</t>
  </si>
  <si>
    <t>ACTIVE period ended</t>
  </si>
  <si>
    <t>period past</t>
  </si>
  <si>
    <t>subscription_expired</t>
  </si>
  <si>
    <t>periodEndsMs</t>
  </si>
  <si>
    <t>SUB-05</t>
  </si>
  <si>
    <t>PAST_DUE or CANCELED</t>
  </si>
  <si>
    <t>inactive status</t>
  </si>
  <si>
    <t>inactive_status blocked</t>
  </si>
  <si>
    <t>status not TRIAL/ACTIVE</t>
  </si>
  <si>
    <t>SUB-06</t>
  </si>
  <si>
    <t>No subscription row</t>
  </si>
  <si>
    <t>null sub</t>
  </si>
  <si>
    <t>no_subscription</t>
  </si>
  <si>
    <t>null input</t>
  </si>
  <si>
    <t>SUB-07</t>
  </si>
  <si>
    <t>Checkout plans</t>
  </si>
  <si>
    <t>Pay STARTER/GROWTH/SCALE</t>
  </si>
  <si>
    <t>Checkout session</t>
  </si>
  <si>
    <t>stripe/paypal checkout</t>
  </si>
  <si>
    <t>SUB-08</t>
  </si>
  <si>
    <t>Payment success return</t>
  </si>
  <si>
    <t>Paid</t>
  </si>
  <si>
    <t>Open /payment/success</t>
  </si>
  <si>
    <t>Status ACTIVE period set</t>
  </si>
  <si>
    <t>verify-session</t>
  </si>
  <si>
    <t>SUB-09</t>
  </si>
  <si>
    <t>Auto-renew on</t>
  </si>
  <si>
    <t>PayPal</t>
  </si>
  <si>
    <t>Enable auto-renew</t>
  </si>
  <si>
    <t>Renews after period</t>
  </si>
  <si>
    <t>PATCH billing/auto-renew</t>
  </si>
  <si>
    <t>SUB-10</t>
  </si>
  <si>
    <t>Auto-renew off</t>
  </si>
  <si>
    <t>Disable</t>
  </si>
  <si>
    <t>Ends at period no charge</t>
  </si>
  <si>
    <t>SUB-11</t>
  </si>
  <si>
    <t>STARTER max 1 branch</t>
  </si>
  <si>
    <t>1 branch</t>
  </si>
  <si>
    <t>Add 2nd</t>
  </si>
  <si>
    <t>maxBranches 1</t>
  </si>
  <si>
    <t>SUB-12</t>
  </si>
  <si>
    <t>GROWTH max 5 branches</t>
  </si>
  <si>
    <t>5 branches</t>
  </si>
  <si>
    <t>Add 6th</t>
  </si>
  <si>
    <t>maxBranches 5</t>
  </si>
  <si>
    <t>SUB-13</t>
  </si>
  <si>
    <t>SCALE unlimited branches</t>
  </si>
  <si>
    <t>SCALE</t>
  </si>
  <si>
    <t>Add many</t>
  </si>
  <si>
    <t>OK</t>
  </si>
  <si>
    <t>Infinity</t>
  </si>
  <si>
    <t>SUB-14</t>
  </si>
  <si>
    <t>STARTER no branding</t>
  </si>
  <si>
    <t>Save logo/theme</t>
  </si>
  <si>
    <t>branding false</t>
  </si>
  <si>
    <t>SUB-15</t>
  </si>
  <si>
    <t>STARTER no custom roles</t>
  </si>
  <si>
    <t>Create role</t>
  </si>
  <si>
    <t>SUB-16</t>
  </si>
  <si>
    <t>STARTER no recommendations</t>
  </si>
  <si>
    <t>Add offer/group</t>
  </si>
  <si>
    <t>recommendations</t>
  </si>
  <si>
    <t>SUB-17</t>
  </si>
  <si>
    <t>STARTER no advanced analytics</t>
  </si>
  <si>
    <t>Open analytics</t>
  </si>
  <si>
    <t>Gated</t>
  </si>
  <si>
    <t>advancedAnalytics</t>
  </si>
  <si>
    <t>SUB-18</t>
  </si>
  <si>
    <t>GROWTH unlocks features</t>
  </si>
  <si>
    <t>Branding roles recs analytics</t>
  </si>
  <si>
    <t>Work</t>
  </si>
  <si>
    <t>plan matrix</t>
  </si>
  <si>
    <t>DASH-01</t>
  </si>
  <si>
    <t>Dashboard</t>
  </si>
  <si>
    <t>Owner dashboard access</t>
  </si>
  <si>
    <t>dashboard:access</t>
  </si>
  <si>
    <t>Metrics load</t>
  </si>
  <si>
    <t>dashboard-analytics</t>
  </si>
  <si>
    <t>DASH-02</t>
  </si>
  <si>
    <t>Canceled excluded from charts</t>
  </si>
  <si>
    <t>Canceled orders exist</t>
  </si>
  <si>
    <t>View charts</t>
  </si>
  <si>
    <t>Excluded</t>
  </si>
  <si>
    <t>analyticsActiveOrderStatusWhere</t>
  </si>
  <si>
    <t>DASH-03</t>
  </si>
  <si>
    <t>Revenue completed payments only</t>
  </si>
  <si>
    <t>Pending+paid</t>
  </si>
  <si>
    <t>View revenue</t>
  </si>
  <si>
    <t>Only completed payments</t>
  </si>
  <si>
    <t>orderCountsTowardRevenue</t>
  </si>
  <si>
    <t>DASH-04</t>
  </si>
  <si>
    <t>Branch filter</t>
  </si>
  <si>
    <t>2 branches</t>
  </si>
  <si>
    <t>Filter branch</t>
  </si>
  <si>
    <t>Numbers match</t>
  </si>
  <si>
    <t>branch scope</t>
  </si>
  <si>
    <t>DASH-05</t>
  </si>
  <si>
    <t>Empty restaurant</t>
  </si>
  <si>
    <t>New owner</t>
  </si>
  <si>
    <t>No orders</t>
  </si>
  <si>
    <t>Zeros no crash</t>
  </si>
  <si>
    <t>analytics</t>
  </si>
  <si>
    <t>SALE-01</t>
  </si>
  <si>
    <t>Sales</t>
  </si>
  <si>
    <t>List by sourceType</t>
  </si>
  <si>
    <t>Filter POS/ONLINE/KIOSK</t>
  </si>
  <si>
    <t>Filter works</t>
  </si>
  <si>
    <t>GET sales-orders</t>
  </si>
  <si>
    <t>SALE-02</t>
  </si>
  <si>
    <t>Status buckets</t>
  </si>
  <si>
    <t>Mixed statuses</t>
  </si>
  <si>
    <t>View buckets</t>
  </si>
  <si>
    <t>completed/pending/canceled</t>
  </si>
  <si>
    <t>salesOrderStatusBucket</t>
  </si>
  <si>
    <t>SALE-03</t>
  </si>
  <si>
    <t>Order detail</t>
  </si>
  <si>
    <t>Open order</t>
  </si>
  <si>
    <t>Items modifiers tax discount service charge</t>
  </si>
  <si>
    <t>GET orders/[id]</t>
  </si>
  <si>
    <t>SALE-04</t>
  </si>
  <si>
    <t>Daily ticket number</t>
  </si>
  <si>
    <t>Same branch same day</t>
  </si>
  <si>
    <t>Two orders</t>
  </si>
  <si>
    <t>Unique ticket per branch/date</t>
  </si>
  <si>
    <t>unique ticketNumber</t>
  </si>
  <si>
    <t>SALE-05</t>
  </si>
  <si>
    <t>Short order id search</t>
  </si>
  <si>
    <t>Search 6-char id</t>
  </si>
  <si>
    <t>Found</t>
  </si>
  <si>
    <t>shortOrderId</t>
  </si>
  <si>
    <t>SALE-06</t>
  </si>
  <si>
    <t>No sales access</t>
  </si>
  <si>
    <t>Cashier without sales</t>
  </si>
  <si>
    <t>No sales:*</t>
  </si>
  <si>
    <t>/no-access</t>
  </si>
  <si>
    <t>POS-01</t>
  </si>
  <si>
    <t>POS</t>
  </si>
  <si>
    <t>Open shift</t>
  </si>
  <si>
    <t>pos</t>
  </si>
  <si>
    <t>Start shift</t>
  </si>
  <si>
    <t>PosShift OPEN</t>
  </si>
  <si>
    <t>POST pos-shift</t>
  </si>
  <si>
    <t>POS-02</t>
  </si>
  <si>
    <t>Shift already open</t>
  </si>
  <si>
    <t>OPEN shift</t>
  </si>
  <si>
    <t>Start again</t>
  </si>
  <si>
    <t>Reuse or reject duplicate</t>
  </si>
  <si>
    <t>open-by-branch</t>
  </si>
  <si>
    <t>POS-03</t>
  </si>
  <si>
    <t>Close shift</t>
  </si>
  <si>
    <t>Enter locker cash</t>
  </si>
  <si>
    <t>CLOSED closingCashInLocker</t>
  </si>
  <si>
    <t>pos-shift</t>
  </si>
  <si>
    <t>POS-04</t>
  </si>
  <si>
    <t>Order without shift</t>
  </si>
  <si>
    <t>No shift</t>
  </si>
  <si>
    <t>Checkout</t>
  </si>
  <si>
    <t>Fail or auto-open</t>
  </si>
  <si>
    <t>posShiftId</t>
  </si>
  <si>
    <t>POS-05</t>
  </si>
  <si>
    <t>Walk-up cash order</t>
  </si>
  <si>
    <t>Shift open</t>
  </si>
  <si>
    <t>Add items cash pay</t>
  </si>
  <si>
    <t>POS order completed + kitchen ticket</t>
  </si>
  <si>
    <t>POST pos-order</t>
  </si>
  <si>
    <t>POS-06</t>
  </si>
  <si>
    <t>Delivery requires phone+address</t>
  </si>
  <si>
    <t>Delivery mode</t>
  </si>
  <si>
    <t>Checkout without them</t>
  </si>
  <si>
    <t>Toast warning</t>
  </si>
  <si>
    <t>pos-screen validation</t>
  </si>
  <si>
    <t>POS-07</t>
  </si>
  <si>
    <t>Takeaway no table</t>
  </si>
  <si>
    <t>Takeaway checkout</t>
  </si>
  <si>
    <t>No diningTableId</t>
  </si>
  <si>
    <t>sourceType POS</t>
  </si>
  <si>
    <t>POS-08</t>
  </si>
  <si>
    <t>Dine-in send kitchen</t>
  </si>
  <si>
    <t>Table exists</t>
  </si>
  <si>
    <t>Select table send kitchen</t>
  </si>
  <si>
    <t>Open pending table order</t>
  </si>
  <si>
    <t>table-orders/open send-kitchen</t>
  </si>
  <si>
    <t>POS-09</t>
  </si>
  <si>
    <t>Add courses to open table</t>
  </si>
  <si>
    <t>Pending table</t>
  </si>
  <si>
    <t>Send kitchen again</t>
  </si>
  <si>
    <t>Same order extra tickets</t>
  </si>
  <si>
    <t>table-open-orders pending</t>
  </si>
  <si>
    <t>POS-10</t>
  </si>
  <si>
    <t>Pay table</t>
  </si>
  <si>
    <t>Open table</t>
  </si>
  <si>
    <t>Cash/card pay</t>
  </si>
  <si>
    <t>Completed; table free</t>
  </si>
  <si>
    <t>table-orders/pay</t>
  </si>
  <si>
    <t>POS-11</t>
  </si>
  <si>
    <t>Cancel table</t>
  </si>
  <si>
    <t>Cancel</t>
  </si>
  <si>
    <t>Canceled; not on KDS</t>
  </si>
  <si>
    <t>table-orders/cancel</t>
  </si>
  <si>
    <t>POS-12</t>
  </si>
  <si>
    <t>Variations and add-ons</t>
  </si>
  <si>
    <t>Configured product</t>
  </si>
  <si>
    <t>Add to cart</t>
  </si>
  <si>
    <t>OrderItemModifier prices</t>
  </si>
  <si>
    <t>modifiers</t>
  </si>
  <si>
    <t>POS-13</t>
  </si>
  <si>
    <t>Personalize no price</t>
  </si>
  <si>
    <t>Personalize group</t>
  </si>
  <si>
    <t>Select prefs</t>
  </si>
  <si>
    <t>Named modifiers unitPrice 0</t>
  </si>
  <si>
    <t>MenuItemPersonalizeGroup</t>
  </si>
  <si>
    <t>POS-14</t>
  </si>
  <si>
    <t>Sale price</t>
  </si>
  <si>
    <t>salePrice set</t>
  </si>
  <si>
    <t>Add item</t>
  </si>
  <si>
    <t>Cart uses salePrice</t>
  </si>
  <si>
    <t>MenuItem.salePrice</t>
  </si>
  <si>
    <t>POS-15</t>
  </si>
  <si>
    <t>Tax + discount + service</t>
  </si>
  <si>
    <t>Charges on</t>
  </si>
  <si>
    <t>total = items - discount + tax + serviceCharge</t>
  </si>
  <si>
    <t>Order fields</t>
  </si>
  <si>
    <t>POS-16</t>
  </si>
  <si>
    <t>POS service charge on</t>
  </si>
  <si>
    <t>posServiceChargeEnabled</t>
  </si>
  <si>
    <t>Flat amount on POS only</t>
  </si>
  <si>
    <t>restaurant flag</t>
  </si>
  <si>
    <t>POS-17</t>
  </si>
  <si>
    <t>POS service charge off</t>
  </si>
  <si>
    <t>Disabled</t>
  </si>
  <si>
    <t>0 service charge</t>
  </si>
  <si>
    <t>flag</t>
  </si>
  <si>
    <t>POS-18</t>
  </si>
  <si>
    <t>Cash pay</t>
  </si>
  <si>
    <t>Pay cash</t>
  </si>
  <si>
    <t>Payment cash completed</t>
  </si>
  <si>
    <t>Payment.method</t>
  </si>
  <si>
    <t>POS-19</t>
  </si>
  <si>
    <t>Card terminal</t>
  </si>
  <si>
    <t>paymentTerminalIp set</t>
  </si>
  <si>
    <t>Card pay</t>
  </si>
  <si>
    <t>terminal-payment route</t>
  </si>
  <si>
    <t>POS terminal</t>
  </si>
  <si>
    <t>POS-20</t>
  </si>
  <si>
    <t>Cancel unpaid</t>
  </si>
  <si>
    <t>Unpaid order</t>
  </si>
  <si>
    <t>Canceled; no revenue</t>
  </si>
  <si>
    <t>PATCH cancel</t>
  </si>
  <si>
    <t>POS-21</t>
  </si>
  <si>
    <t>Cannot cancel completed</t>
  </si>
  <si>
    <t>Completed order</t>
  </si>
  <si>
    <t>cancel guard</t>
  </si>
  <si>
    <t>POS-22</t>
  </si>
  <si>
    <t>Idempotency retry</t>
  </si>
  <si>
    <t>Same idempotencyKey twice</t>
  </si>
  <si>
    <t>Submit twice</t>
  </si>
  <si>
    <t>One order</t>
  </si>
  <si>
    <t>Order.idempotencyKey unique</t>
  </si>
  <si>
    <t>POS-23</t>
  </si>
  <si>
    <t>Recipe stock deduct</t>
  </si>
  <si>
    <t>Product has ingredients</t>
  </si>
  <si>
    <t>Complete order</t>
  </si>
  <si>
    <t>IngredientStockEntry source ORDER</t>
  </si>
  <si>
    <t>inventory</t>
  </si>
  <si>
    <t>POS-24</t>
  </si>
  <si>
    <t>Recent orders</t>
  </si>
  <si>
    <t>Open recent</t>
  </si>
  <si>
    <t>Recent POS orders</t>
  </si>
  <si>
    <t>pos-order/recent</t>
  </si>
  <si>
    <t>POS-25</t>
  </si>
  <si>
    <t>Pending kitchen</t>
  </si>
  <si>
    <t>Unsent items</t>
  </si>
  <si>
    <t>View pending</t>
  </si>
  <si>
    <t>Listed</t>
  </si>
  <si>
    <t>pos-order/pending-kitchen</t>
  </si>
  <si>
    <t>POS-26</t>
  </si>
  <si>
    <t>Offline retry</t>
  </si>
  <si>
    <t>Kill network then restore</t>
  </si>
  <si>
    <t>Place order offline</t>
  </si>
  <si>
    <t>Flush no duplicate</t>
  </si>
  <si>
    <t>outbox + idempotency</t>
  </si>
  <si>
    <t>POS-27</t>
  </si>
  <si>
    <t>No pos access</t>
  </si>
  <si>
    <t>middleware+API</t>
  </si>
  <si>
    <t>POS-28</t>
  </si>
  <si>
    <t>Currency formatting</t>
  </si>
  <si>
    <t>EUR vs PKR</t>
  </si>
  <si>
    <t>Totals formatted</t>
  </si>
  <si>
    <t>currencyCode</t>
  </si>
  <si>
    <t>KDS-01</t>
  </si>
  <si>
    <t>KDS</t>
  </si>
  <si>
    <t>Tickets list making</t>
  </si>
  <si>
    <t>Order sent</t>
  </si>
  <si>
    <t>Open KDS</t>
  </si>
  <si>
    <t>status making</t>
  </si>
  <si>
    <t>GET kds/tickets</t>
  </si>
  <si>
    <t>KDS-02</t>
  </si>
  <si>
    <t>Start timer</t>
  </si>
  <si>
    <t>Ticket open</t>
  </si>
  <si>
    <t>Set minutes</t>
  </si>
  <si>
    <t>selectedMinutes startedAt</t>
  </si>
  <si>
    <t>PATCH ticket</t>
  </si>
  <si>
    <t>KDS-03</t>
  </si>
  <si>
    <t>Mark complete</t>
  </si>
  <si>
    <t>Complete</t>
  </si>
  <si>
    <t>Ticket completed; display ready</t>
  </si>
  <si>
    <t>PATCH</t>
  </si>
  <si>
    <t>KDS-04</t>
  </si>
  <si>
    <t>Cancel ticket</t>
  </si>
  <si>
    <t>Canceled</t>
  </si>
  <si>
    <t>KDS-05</t>
  </si>
  <si>
    <t>Manager orders</t>
  </si>
  <si>
    <t>Manager</t>
  </si>
  <si>
    <t>kds</t>
  </si>
  <si>
    <t>Open manager list</t>
  </si>
  <si>
    <t>In-progress orders</t>
  </si>
  <si>
    <t>kds/manager-orders</t>
  </si>
  <si>
    <t>KDS-06</t>
  </si>
  <si>
    <t>Manager complete/cancel</t>
  </si>
  <si>
    <t>PATCH order</t>
  </si>
  <si>
    <t>Status updates</t>
  </si>
  <si>
    <t>manager-orders/[id]</t>
  </si>
  <si>
    <t>KDS-07</t>
  </si>
  <si>
    <t>Already completed</t>
  </si>
  <si>
    <t>Completed ticket</t>
  </si>
  <si>
    <t>Complete again</t>
  </si>
  <si>
    <t>status guard</t>
  </si>
  <si>
    <t>KDS-08</t>
  </si>
  <si>
    <t>Order display columns</t>
  </si>
  <si>
    <t>order-display</t>
  </si>
  <si>
    <t>Open screen</t>
  </si>
  <si>
    <t>Preparing vs ready</t>
  </si>
  <si>
    <t>GET order-display</t>
  </si>
  <si>
    <t>KDS-09</t>
  </si>
  <si>
    <t>Only that branch</t>
  </si>
  <si>
    <t>scope</t>
  </si>
  <si>
    <t>KDS-10</t>
  </si>
  <si>
    <t>Realtime ticket</t>
  </si>
  <si>
    <t>Kitchen+POS</t>
  </si>
  <si>
    <t>New order</t>
  </si>
  <si>
    <t>Appears without refresh</t>
  </si>
  <si>
    <t>SSE</t>
  </si>
  <si>
    <t>KDS-11</t>
  </si>
  <si>
    <t>No kds permission</t>
  </si>
  <si>
    <t>No kds</t>
  </si>
  <si>
    <t>KSK-01</t>
  </si>
  <si>
    <t>Kiosk</t>
  </si>
  <si>
    <t>Pick branch</t>
  </si>
  <si>
    <t>Valid slug</t>
  </si>
  <si>
    <t>Open kiosk branch</t>
  </si>
  <si>
    <t>Menu for branch</t>
  </si>
  <si>
    <t>kiosk pages</t>
  </si>
  <si>
    <t>KSK-02</t>
  </si>
  <si>
    <t>Dine-in without table</t>
  </si>
  <si>
    <t>Submit dine_in no table</t>
  </si>
  <si>
    <t>400 Table is required</t>
  </si>
  <si>
    <t>POST /api/kiosk/orders</t>
  </si>
  <si>
    <t>KSK-03</t>
  </si>
  <si>
    <t>Dine-in with table</t>
  </si>
  <si>
    <t>Order</t>
  </si>
  <si>
    <t>Address snapshot has table name</t>
  </si>
  <si>
    <t>kioskDineInCustomerDisplayName</t>
  </si>
  <si>
    <t>KSK-04</t>
  </si>
  <si>
    <t>Take-away</t>
  </si>
  <si>
    <t>fulfillment take_away</t>
  </si>
  <si>
    <t>No table needed</t>
  </si>
  <si>
    <t>kiosk orders</t>
  </si>
  <si>
    <t>KSK-05</t>
  </si>
  <si>
    <t>Cash pending</t>
  </si>
  <si>
    <t>Guest then cashier</t>
  </si>
  <si>
    <t>Place kiosk cash</t>
  </si>
  <si>
    <t>Appears POS pending cash</t>
  </si>
  <si>
    <t>kiosk-order/pending-cash</t>
  </si>
  <si>
    <t>KSK-06</t>
  </si>
  <si>
    <t>Staff confirm cash</t>
  </si>
  <si>
    <t>Pending cash</t>
  </si>
  <si>
    <t>Pay</t>
  </si>
  <si>
    <t>Paid + kitchen</t>
  </si>
  <si>
    <t>kiosk-order/[id]/pay</t>
  </si>
  <si>
    <t>KSK-07</t>
  </si>
  <si>
    <t>Staff cancel unpaid</t>
  </si>
  <si>
    <t>Unpaid kiosk</t>
  </si>
  <si>
    <t>.../cancel</t>
  </si>
  <si>
    <t>KSK-08</t>
  </si>
  <si>
    <t>Card/PayPal/Stripe/wallets</t>
  </si>
  <si>
    <t>Provider configured</t>
  </si>
  <si>
    <t>Completes via provider</t>
  </si>
  <si>
    <t>payment routes</t>
  </si>
  <si>
    <t>KSK-09</t>
  </si>
  <si>
    <t>Kiosk service charge</t>
  </si>
  <si>
    <t>kioskServiceChargeEnabled</t>
  </si>
  <si>
    <t>Charge applied</t>
  </si>
  <si>
    <t>KSK-10</t>
  </si>
  <si>
    <t>Track order</t>
  </si>
  <si>
    <t>Track</t>
  </si>
  <si>
    <t>GET kiosk/order-tracking</t>
  </si>
  <si>
    <t>KSK-11</t>
  </si>
  <si>
    <t>Success page</t>
  </si>
  <si>
    <t>Open success</t>
  </si>
  <si>
    <t>Shows ticket/short id</t>
  </si>
  <si>
    <t>success page</t>
  </si>
  <si>
    <t>KSK-12</t>
  </si>
  <si>
    <t>Invalid slug/branch</t>
  </si>
  <si>
    <t>Bad ids</t>
  </si>
  <si>
    <t>Open URL</t>
  </si>
  <si>
    <t>404</t>
  </si>
  <si>
    <t>WEB-01</t>
  </si>
  <si>
    <t>Storefront</t>
  </si>
  <si>
    <t>Menu by slug</t>
  </si>
  <si>
    <t>Products exist</t>
  </si>
  <si>
    <t>Open /{slug}</t>
  </si>
  <si>
    <t>Categories items images</t>
  </si>
  <si>
    <t>GET customer/menu</t>
  </si>
  <si>
    <t>WEB-02</t>
  </si>
  <si>
    <t>Images load</t>
  </si>
  <si>
    <t>Open item/category</t>
  </si>
  <si>
    <t>media routes</t>
  </si>
  <si>
    <t>WEB-03</t>
  </si>
  <si>
    <t>Guest pickup checkout</t>
  </si>
  <si>
    <t>pickUp checkout</t>
  </si>
  <si>
    <t>create-customer-order</t>
  </si>
  <si>
    <t>WEB-04</t>
  </si>
  <si>
    <t>Delivery missing address</t>
  </si>
  <si>
    <t>delivery</t>
  </si>
  <si>
    <t>Delivery address is required</t>
  </si>
  <si>
    <t>Zod</t>
  </si>
  <si>
    <t>WEB-05</t>
  </si>
  <si>
    <t>Delivery missing phone</t>
  </si>
  <si>
    <t>Customer phone is required</t>
  </si>
  <si>
    <t>WEB-06</t>
  </si>
  <si>
    <t>Schedule ASAP</t>
  </si>
  <si>
    <t>ASAP</t>
  </si>
  <si>
    <t>orderScheduleMode asap</t>
  </si>
  <si>
    <t>WEB-07</t>
  </si>
  <si>
    <t>Schedule slot</t>
  </si>
  <si>
    <t>slotDurationMinutes</t>
  </si>
  <si>
    <t>Pick slot</t>
  </si>
  <si>
    <t>Matches 15/30/60</t>
  </si>
  <si>
    <t>Branch</t>
  </si>
  <si>
    <t>WEB-08</t>
  </si>
  <si>
    <t>Cutlery and comment</t>
  </si>
  <si>
    <t>Toggle + comment</t>
  </si>
  <si>
    <t>Stored</t>
  </si>
  <si>
    <t>cutleryRequested customerComment</t>
  </si>
  <si>
    <t>WEB-09</t>
  </si>
  <si>
    <t>Online service charge</t>
  </si>
  <si>
    <t>onlineServiceChargeEnabled</t>
  </si>
  <si>
    <t>Applied</t>
  </si>
  <si>
    <t>WEB-10</t>
  </si>
  <si>
    <t>Cart offers</t>
  </si>
  <si>
    <t>Offers linked</t>
  </si>
  <si>
    <t>Open cart</t>
  </si>
  <si>
    <t>Offers shown</t>
  </si>
  <si>
    <t>GET cart-offers</t>
  </si>
  <si>
    <t>WEB-11</t>
  </si>
  <si>
    <t>Guest track</t>
  </si>
  <si>
    <t>GET customer/order-tracking</t>
  </si>
  <si>
    <t>WEB-12</t>
  </si>
  <si>
    <t>Register customer</t>
  </si>
  <si>
    <t>Register</t>
  </si>
  <si>
    <t>Unique per restaurant+email</t>
  </si>
  <si>
    <t>POST customer-auth/register</t>
  </si>
  <si>
    <t>WEB-13</t>
  </si>
  <si>
    <t>Customer login/logout</t>
  </si>
  <si>
    <t>Login logout</t>
  </si>
  <si>
    <t>Cookie session hashed</t>
  </si>
  <si>
    <t>CustomerSession.tokenHash</t>
  </si>
  <si>
    <t>WEB-14</t>
  </si>
  <si>
    <t>Customer Google</t>
  </si>
  <si>
    <t>Google</t>
  </si>
  <si>
    <t>customer-auth/google</t>
  </si>
  <si>
    <t>WEB-15</t>
  </si>
  <si>
    <t>Order history</t>
  </si>
  <si>
    <t>Open /orders</t>
  </si>
  <si>
    <t>Only that restaurant</t>
  </si>
  <si>
    <t>GET customer/me/orders</t>
  </si>
  <si>
    <t>WEB-16</t>
  </si>
  <si>
    <t>Order detail fulfillment</t>
  </si>
  <si>
    <t>delivery vs pickup from address snapshot</t>
  </si>
  <si>
    <t>Fulfillment: Delivery string</t>
  </si>
  <si>
    <t>WEB-17</t>
  </si>
  <si>
    <t>Disabled account</t>
  </si>
  <si>
    <t>Fails</t>
  </si>
  <si>
    <t>WEB-18</t>
  </si>
  <si>
    <t>Guest vs account on order</t>
  </si>
  <si>
    <t>Both</t>
  </si>
  <si>
    <t>Place orders</t>
  </si>
  <si>
    <t>Account id null vs set</t>
  </si>
  <si>
    <t>WEB-19</t>
  </si>
  <si>
    <t>Subdomain storefront</t>
  </si>
  <si>
    <t>slug.domain</t>
  </si>
  <si>
    <t>middleware rewrite</t>
  </si>
  <si>
    <t>WEB-20</t>
  </si>
  <si>
    <t>Pay at checkout</t>
  </si>
  <si>
    <t>Provider on</t>
  </si>
  <si>
    <t>See PAY cases</t>
  </si>
  <si>
    <t>payments</t>
  </si>
  <si>
    <t>PAY-01</t>
  </si>
  <si>
    <t>Payments</t>
  </si>
  <si>
    <t>Provider NONE</t>
  </si>
  <si>
    <t>NONE</t>
  </si>
  <si>
    <t>Online/kiosk card</t>
  </si>
  <si>
    <t>Cannot take card/wallet</t>
  </si>
  <si>
    <t>customerPaymentProvider</t>
  </si>
  <si>
    <t>PAY-02</t>
  </si>
  <si>
    <t>Save Stripe keys</t>
  </si>
  <si>
    <t>settings</t>
  </si>
  <si>
    <t>Save keys</t>
  </si>
  <si>
    <t>Secret encrypted; test mode</t>
  </si>
  <si>
    <t>PUT payments/stripe</t>
  </si>
  <si>
    <t>PAY-03</t>
  </si>
  <si>
    <t>Stripe test connection</t>
  </si>
  <si>
    <t>Keys saved</t>
  </si>
  <si>
    <t>Test</t>
  </si>
  <si>
    <t>Pass/fail</t>
  </si>
  <si>
    <t>payments/stripe/test</t>
  </si>
  <si>
    <t>PAY-04</t>
  </si>
  <si>
    <t>Stripe checkout + webhook</t>
  </si>
  <si>
    <t>Stripe on</t>
  </si>
  <si>
    <t>Webhook completes payment</t>
  </si>
  <si>
    <t>create-order-checkout-session + webhook</t>
  </si>
  <si>
    <t>PAY-05</t>
  </si>
  <si>
    <t>Verify Stripe return</t>
  </si>
  <si>
    <t>Paid session</t>
  </si>
  <si>
    <t>Return to success</t>
  </si>
  <si>
    <t>Paid → completed</t>
  </si>
  <si>
    <t>verify-order-session</t>
  </si>
  <si>
    <t>PAY-06</t>
  </si>
  <si>
    <t>PayPal REST keys</t>
  </si>
  <si>
    <t>Save + test</t>
  </si>
  <si>
    <t>payments/paypal</t>
  </si>
  <si>
    <t>PAY-07</t>
  </si>
  <si>
    <t>PayPal create+capture</t>
  </si>
  <si>
    <t>Order paid</t>
  </si>
  <si>
    <t>paypal create-order capture</t>
  </si>
  <si>
    <t>PAY-08</t>
  </si>
  <si>
    <t>PayPal partner onboard</t>
  </si>
  <si>
    <t>Onboard</t>
  </si>
  <si>
    <t>permissionsGranted + paymentsReceivable</t>
  </si>
  <si>
    <t>paypal/onboard complete status</t>
  </si>
  <si>
    <t>PAY-09</t>
  </si>
  <si>
    <t>JazzCash save + test</t>
  </si>
  <si>
    <t>Save; return URL match</t>
  </si>
  <si>
    <t>Test OK</t>
  </si>
  <si>
    <t>jazzcash credentials</t>
  </si>
  <si>
    <t>PAY-10</t>
  </si>
  <si>
    <t>JazzCash checkout return</t>
  </si>
  <si>
    <t>Pay success/fail/cancel</t>
  </si>
  <si>
    <t>Handled</t>
  </si>
  <si>
    <t>jazzcash return GET+POST</t>
  </si>
  <si>
    <t>PAY-11</t>
  </si>
  <si>
    <t>Easypaisa checkout return</t>
  </si>
  <si>
    <t>Same as JazzCash</t>
  </si>
  <si>
    <t>easypaisa routes</t>
  </si>
  <si>
    <t>PAY-12</t>
  </si>
  <si>
    <t>Wallet picker</t>
  </si>
  <si>
    <t>WALLETS</t>
  </si>
  <si>
    <t>Pick JazzCash vs Easypaisa</t>
  </si>
  <si>
    <t>Correct provider</t>
  </si>
  <si>
    <t>PAY-13</t>
  </si>
  <si>
    <t>Webhook replay</t>
  </si>
  <si>
    <t>System</t>
  </si>
  <si>
    <t>Replay webhook</t>
  </si>
  <si>
    <t>No double capture</t>
  </si>
  <si>
    <t>completed skip</t>
  </si>
  <si>
    <t>PAY-14</t>
  </si>
  <si>
    <t>Delete credentials</t>
  </si>
  <si>
    <t>DELETE keys</t>
  </si>
  <si>
    <t>Falls back safely</t>
  </si>
  <si>
    <t>DELETE payment routes</t>
  </si>
  <si>
    <t>PAY-15</t>
  </si>
  <si>
    <t>Mobile PayPal complete</t>
  </si>
  <si>
    <t>Mobile</t>
  </si>
  <si>
    <t>Success/cancel query</t>
  </si>
  <si>
    <t>paypal/mobile-complete</t>
  </si>
  <si>
    <t>PAY-16</t>
  </si>
  <si>
    <t>Card flow cancel</t>
  </si>
  <si>
    <t>Cancel card</t>
  </si>
  <si>
    <t>Order not completed</t>
  </si>
  <si>
    <t>card-payment-flow</t>
  </si>
  <si>
    <t>LOC-01</t>
  </si>
  <si>
    <t>Locations</t>
  </si>
  <si>
    <t>CRUD branch</t>
  </si>
  <si>
    <t>Plan allows</t>
  </si>
  <si>
    <t>Create update</t>
  </si>
  <si>
    <t>Saved</t>
  </si>
  <si>
    <t>branches API</t>
  </si>
  <si>
    <t>LOC-02</t>
  </si>
  <si>
    <t>Delete branch with orders</t>
  </si>
  <si>
    <t>Orders exist</t>
  </si>
  <si>
    <t>Delete</t>
  </si>
  <si>
    <t>SetNull or blocked</t>
  </si>
  <si>
    <t>onDelete SetNull</t>
  </si>
  <si>
    <t>LOC-03</t>
  </si>
  <si>
    <t>Plan branch cap</t>
  </si>
  <si>
    <t>At cap</t>
  </si>
  <si>
    <t>Add one more</t>
  </si>
  <si>
    <t>SUB-11-13</t>
  </si>
  <si>
    <t>LOC-04</t>
  </si>
  <si>
    <t>CRUD table per branch</t>
  </si>
  <si>
    <t>Create unique name</t>
  </si>
  <si>
    <t>DiningTable unique</t>
  </si>
  <si>
    <t>LOC-05</t>
  </si>
  <si>
    <t>Duplicate table same branch</t>
  </si>
  <si>
    <t>Name exists</t>
  </si>
  <si>
    <t>Create same name</t>
  </si>
  <si>
    <t>@@unique</t>
  </si>
  <si>
    <t>LOC-06</t>
  </si>
  <si>
    <t>Same table name other branch</t>
  </si>
  <si>
    <t>Same name</t>
  </si>
  <si>
    <t>unique includes branchId</t>
  </si>
  <si>
    <t>LOC-07</t>
  </si>
  <si>
    <t>Delete table keeps snapshot</t>
  </si>
  <si>
    <t>Paid order with table</t>
  </si>
  <si>
    <t>Order.tableLabel remains</t>
  </si>
  <si>
    <t>snapshot</t>
  </si>
  <si>
    <t>LOC-08</t>
  </si>
  <si>
    <t>Employee branch assignment</t>
  </si>
  <si>
    <t>Invite scoped</t>
  </si>
  <si>
    <t>EmployeeBranch set</t>
  </si>
  <si>
    <t>syncEmployeeBranches</t>
  </si>
  <si>
    <t>CAT-01</t>
  </si>
  <si>
    <t>Catalog</t>
  </si>
  <si>
    <t>Create category + image</t>
  </si>
  <si>
    <t>Create</t>
  </si>
  <si>
    <t>Appears on menu</t>
  </si>
  <si>
    <t>categories API</t>
  </si>
  <si>
    <t>CAT-02</t>
  </si>
  <si>
    <t>Edit reorder delete category</t>
  </si>
  <si>
    <t>Edit/delete</t>
  </si>
  <si>
    <t>Delete blocked if linked (confirm)</t>
  </si>
  <si>
    <t>categories</t>
  </si>
  <si>
    <t>CAT-03</t>
  </si>
  <si>
    <t>Variation catalog unique</t>
  </si>
  <si>
    <t>Duplicate name</t>
  </si>
  <si>
    <t>RestaurantVariation unique name</t>
  </si>
  <si>
    <t>CAT-04</t>
  </si>
  <si>
    <t>Product create</t>
  </si>
  <si>
    <t>Create price salePrice image</t>
  </si>
  <si>
    <t>Created</t>
  </si>
  <si>
    <t>POST menu/items</t>
  </si>
  <si>
    <t>CAT-05</t>
  </si>
  <si>
    <t>Multi-category product</t>
  </si>
  <si>
    <t>Assign many</t>
  </si>
  <si>
    <t>MenuItemCategory + primary categoryId</t>
  </si>
  <si>
    <t>links</t>
  </si>
  <si>
    <t>CAT-06</t>
  </si>
  <si>
    <t>Product variations absolute price</t>
  </si>
  <si>
    <t>Set priceDelta</t>
  </si>
  <si>
    <t>Absolute unit price</t>
  </si>
  <si>
    <t>MenuItemVariation</t>
  </si>
  <si>
    <t>CAT-07</t>
  </si>
  <si>
    <t>Personalize groups</t>
  </si>
  <si>
    <t>maxItems options</t>
  </si>
  <si>
    <t>No price</t>
  </si>
  <si>
    <t>personalize API</t>
  </si>
  <si>
    <t>CAT-08</t>
  </si>
  <si>
    <t>Recommendation SINGLE required</t>
  </si>
  <si>
    <t>Required group</t>
  </si>
  <si>
    <t>Guest must pick 1</t>
  </si>
  <si>
    <t>AttributeGroup</t>
  </si>
  <si>
    <t>CAT-09</t>
  </si>
  <si>
    <t>MULTIPLE CHECKBOX</t>
  </si>
  <si>
    <t>Checkbox mode</t>
  </si>
  <si>
    <t>Each option ≤ 1</t>
  </si>
  <si>
    <t>RecommendationMultipleMode</t>
  </si>
  <si>
    <t>CAT-10</t>
  </si>
  <si>
    <t>QUANTITY + freeQuantity</t>
  </si>
  <si>
    <t>First N free</t>
  </si>
  <si>
    <t>Pricing correct</t>
  </si>
  <si>
    <t>freeQuantity</t>
  </si>
  <si>
    <t>CAT-11</t>
  </si>
  <si>
    <t>Per-variation min/max</t>
  </si>
  <si>
    <t>Small 2 Large 4</t>
  </si>
  <si>
    <t>Limits apply</t>
  </si>
  <si>
    <t>AttributeGroupVariationLimit</t>
  </si>
  <si>
    <t>CAT-12</t>
  </si>
  <si>
    <t>CATEGORY source default item</t>
  </si>
  <si>
    <t>Default linked item</t>
  </si>
  <si>
    <t>Delta vs default</t>
  </si>
  <si>
    <t>sourceType CATEGORY</t>
  </si>
  <si>
    <t>CAT-13</t>
  </si>
  <si>
    <t>Default variation price included vs free</t>
  </si>
  <si>
    <t>Toggle includeDefaultLinkedVariationPrice</t>
  </si>
  <si>
    <t>Price changes</t>
  </si>
  <si>
    <t>CAT-14</t>
  </si>
  <si>
    <t>useVariationPricing</t>
  </si>
  <si>
    <t>Enable</t>
  </si>
  <si>
    <t>Add-on follows base variation</t>
  </si>
  <si>
    <t>CAT-15</t>
  </si>
  <si>
    <t>Offers STARTER denied</t>
  </si>
  <si>
    <t>Link offer</t>
  </si>
  <si>
    <t>offers API</t>
  </si>
  <si>
    <t>CAT-16</t>
  </si>
  <si>
    <t>Recipe ingredients</t>
  </si>
  <si>
    <t>Product and/or variation</t>
  </si>
  <si>
    <t>MenuItemIngredient</t>
  </si>
  <si>
    <t>recipe</t>
  </si>
  <si>
    <t>CAT-17</t>
  </si>
  <si>
    <t>Export CSV</t>
  </si>
  <si>
    <t>product access</t>
  </si>
  <si>
    <t>Export</t>
  </si>
  <si>
    <t>Download</t>
  </si>
  <si>
    <t>GET products/export</t>
  </si>
  <si>
    <t>CAT-18</t>
  </si>
  <si>
    <t>Import CSV happy</t>
  </si>
  <si>
    <t>product or recommendations edit</t>
  </si>
  <si>
    <t>Import mapped CSV</t>
  </si>
  <si>
    <t>Products created</t>
  </si>
  <si>
    <t>POST products/import</t>
  </si>
  <si>
    <t>CAT-19</t>
  </si>
  <si>
    <t>Import skipDuplicates true</t>
  </si>
  <si>
    <t>Re-import</t>
  </si>
  <si>
    <t>Existing names skipped</t>
  </si>
  <si>
    <t>skipDuplicates</t>
  </si>
  <si>
    <t>CAT-20</t>
  </si>
  <si>
    <t>Import skipDuplicates false</t>
  </si>
  <si>
    <t>Updates per code</t>
  </si>
  <si>
    <t>CAT-21</t>
  </si>
  <si>
    <t>Import non-CSV</t>
  </si>
  <si>
    <t>Upload .txt</t>
  </si>
  <si>
    <t>400 only .csv</t>
  </si>
  <si>
    <t>import route</t>
  </si>
  <si>
    <t>CAT-22</t>
  </si>
  <si>
    <t>Import bad mapping JSON</t>
  </si>
  <si>
    <t>Invalid mapping</t>
  </si>
  <si>
    <t>400</t>
  </si>
  <si>
    <t>columnMapping parse</t>
  </si>
  <si>
    <t>CAT-23</t>
  </si>
  <si>
    <t>Import recs on STARTER</t>
  </si>
  <si>
    <t>CSV with recs</t>
  </si>
  <si>
    <t>Import</t>
  </si>
  <si>
    <t>Plan denied</t>
  </si>
  <si>
    <t>import plan check</t>
  </si>
  <si>
    <t>CAT-24</t>
  </si>
  <si>
    <t>Delete product snapshot</t>
  </si>
  <si>
    <t>Old orders</t>
  </si>
  <si>
    <t>Delete product</t>
  </si>
  <si>
    <t>Order lines keep productName</t>
  </si>
  <si>
    <t>CAT-25</t>
  </si>
  <si>
    <t>Access-only cannot PATCH</t>
  </si>
  <si>
    <t>product:access</t>
  </si>
  <si>
    <t>Create ingredient</t>
  </si>
  <si>
    <t>Clerk</t>
  </si>
  <si>
    <t>inventory:edit</t>
  </si>
  <si>
    <t>Unique name per restaurant</t>
  </si>
  <si>
    <t>ingredients POST</t>
  </si>
  <si>
    <t>Duplicate ingredient name</t>
  </si>
  <si>
    <t>Create again</t>
  </si>
  <si>
    <t>@@unique name</t>
  </si>
  <si>
    <t>Ingredient fields</t>
  </si>
  <si>
    <t>Image SKU min qty major active</t>
  </si>
  <si>
    <t>Ingredient model</t>
  </si>
  <si>
    <t>Manual stock in/out</t>
  </si>
  <si>
    <t>Add entry</t>
  </si>
  <si>
    <t>MANUAL entry; qty updates</t>
  </si>
  <si>
    <t>IngredientStockEntry</t>
  </si>
  <si>
    <t>Order deducts recipe</t>
  </si>
  <si>
    <t>Recipe set</t>
  </si>
  <si>
    <t>Complete sale</t>
  </si>
  <si>
    <t>Source ORDER linked orderId</t>
  </si>
  <si>
    <t>ORDER source</t>
  </si>
  <si>
    <t>Cancel order stock</t>
  </si>
  <si>
    <t>Deducted</t>
  </si>
  <si>
    <t>Cancel order</t>
  </si>
  <si>
    <t>Confirm restore or not</t>
  </si>
  <si>
    <t>cancel path</t>
  </si>
  <si>
    <t>Below minQuantity warning</t>
  </si>
  <si>
    <t>min set</t>
  </si>
  <si>
    <t>Drop below</t>
  </si>
  <si>
    <t>Warning on page</t>
  </si>
  <si>
    <t>minQuantity</t>
  </si>
  <si>
    <t>Inactive hidden from recipes</t>
  </si>
  <si>
    <t>isActive false</t>
  </si>
  <si>
    <t>New recipe picker</t>
  </si>
  <si>
    <t>Hidden</t>
  </si>
  <si>
    <t>isActive</t>
  </si>
  <si>
    <t>Delete in-use ingredient</t>
  </si>
  <si>
    <t>Used in recipe</t>
  </si>
  <si>
    <t>Blocked or cascade</t>
  </si>
  <si>
    <t>DELETE ingredient</t>
  </si>
  <si>
    <t>Realtime stock</t>
  </si>
  <si>
    <t>Two tabs</t>
  </si>
  <si>
    <t>Manual adjust</t>
  </si>
  <si>
    <t>Other tab updates</t>
  </si>
  <si>
    <t>publishInventoryStockUpdate</t>
  </si>
  <si>
    <t>FIN-01</t>
  </si>
  <si>
    <t>Finance</t>
  </si>
  <si>
    <t>Transaction history</t>
  </si>
  <si>
    <t>Filter date/source</t>
  </si>
  <si>
    <t>List</t>
  </si>
  <si>
    <t>transaction-history</t>
  </si>
  <si>
    <t>FIN-02</t>
  </si>
  <si>
    <t>Record detail</t>
  </si>
  <si>
    <t>Open /records/[id]</t>
  </si>
  <si>
    <t>Line items</t>
  </si>
  <si>
    <t>detail page</t>
  </si>
  <si>
    <t>FIN-03</t>
  </si>
  <si>
    <t>Income analytics gated</t>
  </si>
  <si>
    <t>STARTER vs GROWTH</t>
  </si>
  <si>
    <t>STARTER gated GROWTH OK</t>
  </si>
  <si>
    <t>FIN-04</t>
  </si>
  <si>
    <t>Product sales/favorites</t>
  </si>
  <si>
    <t>Paid orders</t>
  </si>
  <si>
    <t>Open reports</t>
  </si>
  <si>
    <t>Matches completed paid</t>
  </si>
  <si>
    <t>productsale favorite profit</t>
  </si>
  <si>
    <t>FIN-05</t>
  </si>
  <si>
    <t>Canceled not in revenue</t>
  </si>
  <si>
    <t>Canceled orders</t>
  </si>
  <si>
    <t>Check reports</t>
  </si>
  <si>
    <t>SET-01</t>
  </si>
  <si>
    <t>Settings</t>
  </si>
  <si>
    <t>Change unique</t>
  </si>
  <si>
    <t>Storefront URLs update</t>
  </si>
  <si>
    <t>PATCH restaurant</t>
  </si>
  <si>
    <t>SET-02</t>
  </si>
  <si>
    <t>Currency country</t>
  </si>
  <si>
    <t>Change</t>
  </si>
  <si>
    <t>POS/kiosk/web use currencyCode</t>
  </si>
  <si>
    <t>regional</t>
  </si>
  <si>
    <t>SET-03</t>
  </si>
  <si>
    <t>Branding GROWTH</t>
  </si>
  <si>
    <t>Logo banners theme</t>
  </si>
  <si>
    <t>restaurant PATCH</t>
  </si>
  <si>
    <t>SET-04</t>
  </si>
  <si>
    <t>Branding STARTER</t>
  </si>
  <si>
    <t>Save branding</t>
  </si>
  <si>
    <t>Denied</t>
  </si>
  <si>
    <t>SET-05</t>
  </si>
  <si>
    <t>Service charges per channel</t>
  </si>
  <si>
    <t>POS kiosk online independently</t>
  </si>
  <si>
    <t>PATCH service-charges</t>
  </si>
  <si>
    <t>SET-06</t>
  </si>
  <si>
    <t>Payment terminal IP</t>
  </si>
  <si>
    <t>Set IP</t>
  </si>
  <si>
    <t>Used by POS card</t>
  </si>
  <si>
    <t>paymentTerminalIp</t>
  </si>
  <si>
    <t>SET-07</t>
  </si>
  <si>
    <t>List roles</t>
  </si>
  <si>
    <t>Open Access</t>
  </si>
  <si>
    <t>Owner/Admin presets</t>
  </si>
  <si>
    <t>SET-08</t>
  </si>
  <si>
    <t>Create custom role GROWTH</t>
  </si>
  <si>
    <t>Matrix modules</t>
  </si>
  <si>
    <t>POST roles</t>
  </si>
  <si>
    <t>SET-09</t>
  </si>
  <si>
    <t>Toggle delete on</t>
  </si>
  <si>
    <t>Enable delete</t>
  </si>
  <si>
    <t>Auto access+edit</t>
  </si>
  <si>
    <t>SET-10</t>
  </si>
  <si>
    <t>Toggle access off</t>
  </si>
  <si>
    <t>Disable access</t>
  </si>
  <si>
    <t>Clears edit+delete</t>
  </si>
  <si>
    <t>SET-11</t>
  </si>
  <si>
    <t>Invite employee</t>
  </si>
  <si>
    <t>Role + branches</t>
  </si>
  <si>
    <t>Email invite</t>
  </si>
  <si>
    <t>POST employees</t>
  </si>
  <si>
    <t>SET-12</t>
  </si>
  <si>
    <t>STARTER custom role assign</t>
  </si>
  <si>
    <t>Assign custom</t>
  </si>
  <si>
    <t>plan</t>
  </si>
  <si>
    <t>SET-13</t>
  </si>
  <si>
    <t>Remove</t>
  </si>
  <si>
    <t>Loses dashboard</t>
  </si>
  <si>
    <t>SET-14</t>
  </si>
  <si>
    <t>Owner always full access</t>
  </si>
  <si>
    <t>Stale Role.permissions</t>
  </si>
  <si>
    <t>Still full</t>
  </si>
  <si>
    <t>getEffectiveDashboardPermissionNames</t>
  </si>
  <si>
    <t>SET-15</t>
  </si>
  <si>
    <t>Billing invoices</t>
  </si>
  <si>
    <t>Open billing</t>
  </si>
  <si>
    <t>Invoices show</t>
  </si>
  <si>
    <t>GET billing</t>
  </si>
  <si>
    <t>ADM-01</t>
  </si>
  <si>
    <t>Overview metrics</t>
  </si>
  <si>
    <t>Metrics</t>
  </si>
  <si>
    <t>GET admin/overview</t>
  </si>
  <si>
    <t>ADM-02</t>
  </si>
  <si>
    <t>Restaurant directory</t>
  </si>
  <si>
    <t>Open restaurants</t>
  </si>
  <si>
    <t>All tenants</t>
  </si>
  <si>
    <t>GET admin/restaurants</t>
  </si>
  <si>
    <t>ADM-03</t>
  </si>
  <si>
    <t>Change plan/status/period</t>
  </si>
  <si>
    <t>Set adminPeriodEndAt</t>
  </si>
  <si>
    <t>Not overwritten until PayPal renewal</t>
  </si>
  <si>
    <t>adminPeriodEndAt</t>
  </si>
  <si>
    <t>ADM-04</t>
  </si>
  <si>
    <t>Record subscription payment</t>
  </si>
  <si>
    <t>Add payment</t>
  </si>
  <si>
    <t>SubscriptionPayment row</t>
  </si>
  <si>
    <t>admin payments</t>
  </si>
  <si>
    <t>ADM-05</t>
  </si>
  <si>
    <t>Demo requests + email</t>
  </si>
  <si>
    <t>View/email</t>
  </si>
  <si>
    <t>/admin/requests</t>
  </si>
  <si>
    <t>ADM-06</t>
  </si>
  <si>
    <t>Newsletter CRUD + send</t>
  </si>
  <si>
    <t>Create send</t>
  </si>
  <si>
    <t>Campaigns</t>
  </si>
  <si>
    <t>admin newsletter</t>
  </si>
  <si>
    <t>ADM-07</t>
  </si>
  <si>
    <t>Blog CRUD publish</t>
  </si>
  <si>
    <t>Publish</t>
  </si>
  <si>
    <t>Public blog only published</t>
  </si>
  <si>
    <t>admin blog</t>
  </si>
  <si>
    <t>ADM-08</t>
  </si>
  <si>
    <t>FAQ CRUD reorder</t>
  </si>
  <si>
    <t>Reorder</t>
  </si>
  <si>
    <t>Landing FAQs update</t>
  </si>
  <si>
    <t>admin faqs</t>
  </si>
  <si>
    <t>ADM-09</t>
  </si>
  <si>
    <t>Docs tree reorder</t>
  </si>
  <si>
    <t>Headings/modules</t>
  </si>
  <si>
    <t>Public docs update</t>
  </si>
  <si>
    <t>admin documentation</t>
  </si>
  <si>
    <t>ADM-10</t>
  </si>
  <si>
    <t>SEO traffic</t>
  </si>
  <si>
    <t>GSC/GA4</t>
  </si>
  <si>
    <t>/admin/seo</t>
  </si>
  <si>
    <t>ADM-11</t>
  </si>
  <si>
    <t>Platform settings</t>
  </si>
  <si>
    <t>Save</t>
  </si>
  <si>
    <t>PlatformSetting</t>
  </si>
  <si>
    <t>/admin/settings</t>
  </si>
  <si>
    <t>ADM-12</t>
  </si>
  <si>
    <t>Non-admin API</t>
  </si>
  <si>
    <t>Call /api/admin/*</t>
  </si>
  <si>
    <t>adminRequest.ts</t>
  </si>
  <si>
    <t>E2E-01</t>
  </si>
  <si>
    <t>E2E</t>
  </si>
  <si>
    <t>Signup to POS to KDS to analytics</t>
  </si>
  <si>
    <t>Fresh restaurant</t>
  </si>
  <si>
    <t>Onboard menu POS KDS display sales inventory</t>
  </si>
  <si>
    <t>Full path works</t>
  </si>
  <si>
    <t>multi-module</t>
  </si>
  <si>
    <t>E2E-02</t>
  </si>
  <si>
    <t>Table open send pay complete</t>
  </si>
  <si>
    <t>Tables exist</t>
  </si>
  <si>
    <t>Open send pay complete</t>
  </si>
  <si>
    <t>Table flow</t>
  </si>
  <si>
    <t>table-orders</t>
  </si>
  <si>
    <t>E2E-03</t>
  </si>
  <si>
    <t>Kiosk dine-in cash</t>
  </si>
  <si>
    <t>Guest+cashier</t>
  </si>
  <si>
    <t>Kiosk cash then POS confirm then KDS</t>
  </si>
  <si>
    <t>kiosk pending-cash</t>
  </si>
  <si>
    <t>E2E-04</t>
  </si>
  <si>
    <t>Online delivery Stripe</t>
  </si>
  <si>
    <t>Cart pay webhook kitchen track</t>
  </si>
  <si>
    <t>customer orders + stripe</t>
  </si>
  <si>
    <t>E2E-05</t>
  </si>
  <si>
    <t>Online pickup JazzCash</t>
  </si>
  <si>
    <t>Wallets</t>
  </si>
  <si>
    <t>Pay JazzCash</t>
  </si>
  <si>
    <t>jazzcash return</t>
  </si>
  <si>
    <t>E2E-06</t>
  </si>
  <si>
    <t>POS-only employee</t>
  </si>
  <si>
    <t>Limited role</t>
  </si>
  <si>
    <t>Sell; cannot edit menu/settings</t>
  </si>
  <si>
    <t>RBAC holds</t>
  </si>
  <si>
    <t>E2E-07</t>
  </si>
  <si>
    <t>Two owners</t>
  </si>
  <si>
    <t>2nd branch logo rec group</t>
  </si>
  <si>
    <t>STARTER denied GROWTH OK</t>
  </si>
  <si>
    <t>plan enforcement</t>
  </si>
  <si>
    <t>E2E-08</t>
  </si>
  <si>
    <t>Trial expire mid-shift</t>
  </si>
  <si>
    <t>Expire trial</t>
  </si>
  <si>
    <t>Use dashboard</t>
  </si>
  <si>
    <t>Blocked</t>
  </si>
  <si>
    <t>subscription-access</t>
  </si>
  <si>
    <t>E2E-09</t>
  </si>
  <si>
    <t>CSV export import skip dupes</t>
  </si>
  <si>
    <t>Export import</t>
  </si>
  <si>
    <t>Unchanged + extras added</t>
  </si>
  <si>
    <t>import/export</t>
  </si>
  <si>
    <t>E2E-10</t>
  </si>
  <si>
    <t>Same customer email two restaurants</t>
  </si>
  <si>
    <t>Register both</t>
  </si>
  <si>
    <t>Separate CustomerAccounts</t>
  </si>
  <si>
    <t>unique per restaurant</t>
  </si>
  <si>
    <t>SEC-01</t>
  </si>
  <si>
    <t>API without cookie</t>
  </si>
  <si>
    <t>GET menu items staff</t>
  </si>
  <si>
    <t>SEC-02</t>
  </si>
  <si>
    <t>Forge other restaurant itemId</t>
  </si>
  <si>
    <t>B's itemId</t>
  </si>
  <si>
    <t>GET/PATCH</t>
  </si>
  <si>
    <t>404 not leaked</t>
  </si>
  <si>
    <t>tenant scope</t>
  </si>
  <si>
    <t>SEC-03</t>
  </si>
  <si>
    <t>Customer API uses slug not staff restaurant</t>
  </si>
  <si>
    <t>Staff+customer</t>
  </si>
  <si>
    <t>Call customer APIs</t>
  </si>
  <si>
    <t>Resolves restaurant from slug/host</t>
  </si>
  <si>
    <t>customer restaurant route</t>
  </si>
  <si>
    <t>SEC-04</t>
  </si>
  <si>
    <t>Admin API as owner</t>
  </si>
  <si>
    <t>Call admin</t>
  </si>
  <si>
    <t>adminRequest</t>
  </si>
  <si>
    <t>SEC-05</t>
  </si>
  <si>
    <t>XSS in product name</t>
  </si>
  <si>
    <t>Name with script</t>
  </si>
  <si>
    <t>Escaped on KDS/POS/storefront</t>
  </si>
  <si>
    <t>encoding</t>
  </si>
  <si>
    <t>SEC-06</t>
  </si>
  <si>
    <t>Huge CSV</t>
  </si>
  <si>
    <t>Upload huge file</t>
  </si>
  <si>
    <t>Sensible error no crash</t>
  </si>
  <si>
    <t>import</t>
  </si>
  <si>
    <t>SEC-07</t>
  </si>
  <si>
    <t>Double-submit pay</t>
  </si>
  <si>
    <t>Guest/cashier</t>
  </si>
  <si>
    <t>Double click pay</t>
  </si>
  <si>
    <t>One payment</t>
  </si>
  <si>
    <t>idempotency/completed guard</t>
  </si>
  <si>
    <t>SEC-08</t>
  </si>
  <si>
    <t>Pay canceled order</t>
  </si>
  <si>
    <t>SEC-09</t>
  </si>
  <si>
    <t>Webhook invalid signature</t>
  </si>
  <si>
    <t>Attacker</t>
  </si>
  <si>
    <t>POST webhook</t>
  </si>
  <si>
    <t>400 order unchanged</t>
  </si>
  <si>
    <t>signature check</t>
  </si>
  <si>
    <t>Test progress</t>
  </si>
  <si>
    <t>Metric</t>
  </si>
  <si>
    <t>Users &amp; RBAC</t>
  </si>
  <si>
    <t>Full system</t>
  </si>
  <si>
    <t>Total</t>
  </si>
  <si>
    <t>Total cases</t>
  </si>
  <si>
    <t>Pass</t>
  </si>
  <si>
    <t>Fail</t>
  </si>
  <si>
    <t>Approved (☑)</t>
  </si>
  <si>
    <t>Rejected (☑)</t>
  </si>
  <si>
    <t>Tip: filter Result = Fail on a case sheet, then tick Rejected. Filter Result = Pass, then tick Approved.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</si>
</sst>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111827"/>
      <sz val="18"/>
      <name val="Calibri"/>
    </font>
    <font>
      <b/>
      <color rgb="FFFFFFFF"/>
      <sz val="11"/>
      <name val="Calibri"/>
    </font>
    <font>
      <b/>
      <sz val="11"/>
      <name val="Calibri"/>
    </font>
    <font>
      <sz val="10"/>
      <name val="Calibri"/>
    </font>
    <font>
      <sz val="12"/>
      <name val="Calibri"/>
    </font>
    <font>
      <b/>
      <sz val="16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11827"/>
      </patternFill>
    </fill>
    <fill>
      <patternFill patternType="solid">
        <fgColor rgb="FFF8FAFC"/>
      </patternFill>
    </fill>
  </fills>
  <borders count="2">
    <border>
      <left/>
      <right/>
      <top/>
      <bottom/>
      <diagonal/>
    </border>
    <border>
      <left/>
      <right/>
      <top/>
      <bottom style="thin">
        <color rgb="FF1F2937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0" fillId="0" borderId="0" xfId="0" applyAlignment="1">
      <alignment vertical="top" wrapText="1"/>
    </xf>
    <xf numFmtId="0" fontId="2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horizontal="center" vertical="center"/>
    </xf>
    <xf numFmtId="0" fontId="4" fillId="3" borderId="0" xfId="0" applyFont="1" applyFill="1" applyAlignment="1">
      <alignment vertical="top" wrapText="1"/>
    </xf>
    <xf numFmtId="0" fontId="6" fillId="0" borderId="0" xfId="0" applyFont="1"/>
    <xf numFmtId="0" fontId="7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10">
    <dxf>
      <font>
        <b/>
        <color rgb="FF006100"/>
      </font>
      <fill>
        <patternFill patternType="solid">
          <bgColor rgb="FFC6EF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5700"/>
      </font>
      <fill>
        <patternFill patternType="solid">
          <bgColor rgb="FFFFEB9C"/>
        </patternFill>
      </fill>
    </dxf>
    <dxf>
      <font>
        <b/>
        <color rgb="FF006100"/>
      </font>
      <fill>
        <patternFill patternType="solid">
          <bgColor rgb="FFC6EF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006100"/>
      </font>
      <fill>
        <patternFill patternType="solid">
          <bgColor rgb="FFC6EF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5700"/>
      </font>
      <fill>
        <patternFill patternType="solid">
          <bgColor rgb="FFFFEB9C"/>
        </patternFill>
      </fill>
    </dxf>
    <dxf>
      <font>
        <b/>
        <color rgb="FF006100"/>
      </font>
      <fill>
        <patternFill patternType="solid">
          <bgColor rgb="FFC6EFCE"/>
        </patternFill>
      </fill>
    </dxf>
    <dxf>
      <font>
        <b/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366F1"/>
  </sheetPr>
  <dimension ref="A1:B11"/>
  <sheetFormatPr defaultRowHeight="15" outlineLevelRow="0" outlineLevelCol="0" x14ac:dyDescent="55"/>
  <cols>
    <col min="1" max="1" width="22" customWidth="1"/>
    <col min="2" max="2" width="92" customWidth="1"/>
  </cols>
  <sheetData>
    <row r="1" spans="1:2" x14ac:dyDescent="0.25">
      <c r="A1" s="1" t="s">
        <v>0</v>
      </c>
      <c r="B1" s="1"/>
    </row>
    <row r="3" spans="1:2" x14ac:dyDescent="0.25">
      <c r="A3" s="2" t="s">
        <v>1</v>
      </c>
      <c r="B3" s="2" t="s">
        <v>2</v>
      </c>
    </row>
    <row r="4" ht="36" customHeight="1" spans="1:2" x14ac:dyDescent="0.25">
      <c r="A4" s="3" t="s">
        <v>3</v>
      </c>
      <c r="B4" s="4" t="s">
        <v>4</v>
      </c>
    </row>
    <row r="5" ht="36" customHeight="1" spans="1:2" x14ac:dyDescent="0.25">
      <c r="A5" s="3" t="s">
        <v>5</v>
      </c>
      <c r="B5" s="4" t="s">
        <v>6</v>
      </c>
    </row>
    <row r="6" ht="36" customHeight="1" spans="1:2" x14ac:dyDescent="0.25">
      <c r="A6" s="3" t="s">
        <v>7</v>
      </c>
      <c r="B6" s="4" t="s">
        <v>8</v>
      </c>
    </row>
    <row r="7" ht="36" customHeight="1" spans="1:2" x14ac:dyDescent="0.25">
      <c r="A7" s="3" t="s">
        <v>9</v>
      </c>
      <c r="B7" s="4" t="s">
        <v>10</v>
      </c>
    </row>
    <row r="8" ht="36" customHeight="1" spans="1:2" x14ac:dyDescent="0.25">
      <c r="A8" s="3" t="s">
        <v>11</v>
      </c>
      <c r="B8" s="4" t="s">
        <v>12</v>
      </c>
    </row>
    <row r="9" ht="36" customHeight="1" spans="1:2" x14ac:dyDescent="0.25">
      <c r="A9" s="3" t="s">
        <v>13</v>
      </c>
      <c r="B9" s="4" t="s">
        <v>14</v>
      </c>
    </row>
    <row r="10" ht="36" customHeight="1" spans="1:2" x14ac:dyDescent="0.25">
      <c r="A10" s="3" t="s">
        <v>15</v>
      </c>
      <c r="B10" s="4" t="s">
        <v>16</v>
      </c>
    </row>
    <row r="11" ht="36" customHeight="1" spans="1:2" x14ac:dyDescent="0.25">
      <c r="A11" s="3" t="s">
        <v>17</v>
      </c>
      <c r="B11" s="4" t="s">
        <v>18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563EB"/>
    <pageSetUpPr fitToPage="1"/>
  </sheetPr>
  <dimension ref="A1:N126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42" customWidth="1"/>
    <col min="4" max="4" width="18" customWidth="1"/>
    <col min="5" max="5" width="32" customWidth="1"/>
    <col min="6" max="6" width="40" customWidth="1"/>
    <col min="7" max="7" width="44" customWidth="1"/>
    <col min="8" max="8" width="36" customWidth="1"/>
    <col min="9" max="11" width="12" customWidth="1"/>
    <col min="12" max="12" width="28" customWidth="1"/>
    <col min="13" max="14" width="14" customWidth="1"/>
  </cols>
  <sheetData>
    <row r="1" ht="22" customHeight="1" spans="1:14" s="5" customFormat="1" x14ac:dyDescent="0.25">
      <c r="A1" s="6" t="s">
        <v>19</v>
      </c>
      <c r="B1" s="6" t="s">
        <v>20</v>
      </c>
      <c r="C1" s="6" t="s">
        <v>21</v>
      </c>
      <c r="D1" s="6" t="s">
        <v>22</v>
      </c>
      <c r="E1" s="6" t="s">
        <v>23</v>
      </c>
      <c r="F1" s="6" t="s">
        <v>24</v>
      </c>
      <c r="G1" s="6" t="s">
        <v>25</v>
      </c>
      <c r="H1" s="6" t="s">
        <v>26</v>
      </c>
      <c r="I1" s="6" t="s">
        <v>27</v>
      </c>
      <c r="J1" s="6" t="s">
        <v>5</v>
      </c>
      <c r="K1" s="6" t="s">
        <v>7</v>
      </c>
      <c r="L1" s="6" t="s">
        <v>28</v>
      </c>
      <c r="M1" s="6" t="s">
        <v>29</v>
      </c>
      <c r="N1" s="6" t="s">
        <v>30</v>
      </c>
    </row>
    <row r="2" ht="36" customHeight="1" spans="1:14" x14ac:dyDescent="0.25">
      <c r="A2" s="7" t="s">
        <v>31</v>
      </c>
      <c r="B2" s="7" t="s">
        <v>32</v>
      </c>
      <c r="C2" s="7" t="s">
        <v>33</v>
      </c>
      <c r="D2" s="7" t="s">
        <v>34</v>
      </c>
      <c r="E2" s="7" t="s">
        <v>35</v>
      </c>
      <c r="F2" s="7" t="s">
        <v>36</v>
      </c>
      <c r="G2" s="7" t="s">
        <v>37</v>
      </c>
      <c r="H2" s="7" t="s">
        <v>38</v>
      </c>
      <c r="I2" s="8" t="s">
        <v>39</v>
      </c>
      <c r="J2" s="8" t="s">
        <v>40</v>
      </c>
      <c r="K2" s="8" t="s">
        <v>40</v>
      </c>
      <c r="L2" s="7" t="s">
        <v>41</v>
      </c>
      <c r="M2" s="7" t="s">
        <v>41</v>
      </c>
      <c r="N2" s="7" t="s">
        <v>41</v>
      </c>
    </row>
    <row r="3" ht="36" customHeight="1" spans="1:14" x14ac:dyDescent="0.25">
      <c r="A3" s="9" t="s">
        <v>42</v>
      </c>
      <c r="B3" s="9" t="s">
        <v>32</v>
      </c>
      <c r="C3" s="9" t="s">
        <v>43</v>
      </c>
      <c r="D3" s="9" t="s">
        <v>44</v>
      </c>
      <c r="E3" s="9" t="s">
        <v>45</v>
      </c>
      <c r="F3" s="9" t="s">
        <v>46</v>
      </c>
      <c r="G3" s="9" t="s">
        <v>47</v>
      </c>
      <c r="H3" s="9" t="s">
        <v>48</v>
      </c>
      <c r="I3" s="8" t="s">
        <v>39</v>
      </c>
      <c r="J3" s="8" t="s">
        <v>40</v>
      </c>
      <c r="K3" s="8" t="s">
        <v>40</v>
      </c>
      <c r="L3" s="7" t="s">
        <v>41</v>
      </c>
      <c r="M3" s="7" t="s">
        <v>41</v>
      </c>
      <c r="N3" s="7" t="s">
        <v>41</v>
      </c>
    </row>
    <row r="4" ht="36" customHeight="1" spans="1:14" x14ac:dyDescent="0.25">
      <c r="A4" s="7" t="s">
        <v>49</v>
      </c>
      <c r="B4" s="7" t="s">
        <v>32</v>
      </c>
      <c r="C4" s="7" t="s">
        <v>50</v>
      </c>
      <c r="D4" s="7" t="s">
        <v>51</v>
      </c>
      <c r="E4" s="7" t="s">
        <v>52</v>
      </c>
      <c r="F4" s="7" t="s">
        <v>53</v>
      </c>
      <c r="G4" s="7" t="s">
        <v>54</v>
      </c>
      <c r="H4" s="7" t="s">
        <v>55</v>
      </c>
      <c r="I4" s="8" t="s">
        <v>39</v>
      </c>
      <c r="J4" s="8" t="s">
        <v>40</v>
      </c>
      <c r="K4" s="8" t="s">
        <v>40</v>
      </c>
      <c r="L4" s="7" t="s">
        <v>41</v>
      </c>
      <c r="M4" s="7" t="s">
        <v>41</v>
      </c>
      <c r="N4" s="7" t="s">
        <v>41</v>
      </c>
    </row>
    <row r="5" ht="36" customHeight="1" spans="1:14" x14ac:dyDescent="0.25">
      <c r="A5" s="9" t="s">
        <v>56</v>
      </c>
      <c r="B5" s="9" t="s">
        <v>32</v>
      </c>
      <c r="C5" s="9" t="s">
        <v>57</v>
      </c>
      <c r="D5" s="9" t="s">
        <v>58</v>
      </c>
      <c r="E5" s="9" t="s">
        <v>59</v>
      </c>
      <c r="F5" s="9" t="s">
        <v>60</v>
      </c>
      <c r="G5" s="9" t="s">
        <v>61</v>
      </c>
      <c r="H5" s="9" t="s">
        <v>62</v>
      </c>
      <c r="I5" s="8" t="s">
        <v>39</v>
      </c>
      <c r="J5" s="8" t="s">
        <v>40</v>
      </c>
      <c r="K5" s="8" t="s">
        <v>40</v>
      </c>
      <c r="L5" s="7" t="s">
        <v>41</v>
      </c>
      <c r="M5" s="7" t="s">
        <v>41</v>
      </c>
      <c r="N5" s="7" t="s">
        <v>41</v>
      </c>
    </row>
    <row r="6" ht="36" customHeight="1" spans="1:14" x14ac:dyDescent="0.25">
      <c r="A6" s="7" t="s">
        <v>63</v>
      </c>
      <c r="B6" s="7" t="s">
        <v>64</v>
      </c>
      <c r="C6" s="7" t="s">
        <v>65</v>
      </c>
      <c r="D6" s="7" t="s">
        <v>66</v>
      </c>
      <c r="E6" s="7" t="s">
        <v>67</v>
      </c>
      <c r="F6" s="7" t="s">
        <v>68</v>
      </c>
      <c r="G6" s="7" t="s">
        <v>69</v>
      </c>
      <c r="H6" s="7" t="s">
        <v>70</v>
      </c>
      <c r="I6" s="8" t="s">
        <v>39</v>
      </c>
      <c r="J6" s="8" t="s">
        <v>40</v>
      </c>
      <c r="K6" s="8" t="s">
        <v>40</v>
      </c>
      <c r="L6" s="7" t="s">
        <v>41</v>
      </c>
      <c r="M6" s="7" t="s">
        <v>41</v>
      </c>
      <c r="N6" s="7" t="s">
        <v>41</v>
      </c>
    </row>
    <row r="7" ht="36" customHeight="1" spans="1:14" x14ac:dyDescent="0.25">
      <c r="A7" s="9" t="s">
        <v>71</v>
      </c>
      <c r="B7" s="9" t="s">
        <v>64</v>
      </c>
      <c r="C7" s="9" t="s">
        <v>72</v>
      </c>
      <c r="D7" s="9" t="s">
        <v>66</v>
      </c>
      <c r="E7" s="9" t="s">
        <v>67</v>
      </c>
      <c r="F7" s="9" t="s">
        <v>73</v>
      </c>
      <c r="G7" s="9" t="s">
        <v>74</v>
      </c>
      <c r="H7" s="9" t="s">
        <v>75</v>
      </c>
      <c r="I7" s="8" t="s">
        <v>39</v>
      </c>
      <c r="J7" s="8" t="s">
        <v>40</v>
      </c>
      <c r="K7" s="8" t="s">
        <v>40</v>
      </c>
      <c r="L7" s="7" t="s">
        <v>41</v>
      </c>
      <c r="M7" s="7" t="s">
        <v>41</v>
      </c>
      <c r="N7" s="7" t="s">
        <v>41</v>
      </c>
    </row>
    <row r="8" ht="36" customHeight="1" spans="1:14" x14ac:dyDescent="0.25">
      <c r="A8" s="7" t="s">
        <v>76</v>
      </c>
      <c r="B8" s="7" t="s">
        <v>77</v>
      </c>
      <c r="C8" s="7" t="s">
        <v>78</v>
      </c>
      <c r="D8" s="7" t="s">
        <v>34</v>
      </c>
      <c r="E8" s="7" t="s">
        <v>79</v>
      </c>
      <c r="F8" s="7" t="s">
        <v>80</v>
      </c>
      <c r="G8" s="7" t="s">
        <v>81</v>
      </c>
      <c r="H8" s="7" t="s">
        <v>82</v>
      </c>
      <c r="I8" s="8" t="s">
        <v>39</v>
      </c>
      <c r="J8" s="8" t="s">
        <v>40</v>
      </c>
      <c r="K8" s="8" t="s">
        <v>40</v>
      </c>
      <c r="L8" s="7" t="s">
        <v>41</v>
      </c>
      <c r="M8" s="7" t="s">
        <v>41</v>
      </c>
      <c r="N8" s="7" t="s">
        <v>41</v>
      </c>
    </row>
    <row r="9" ht="36" customHeight="1" spans="1:14" x14ac:dyDescent="0.25">
      <c r="A9" s="9" t="s">
        <v>83</v>
      </c>
      <c r="B9" s="9" t="s">
        <v>77</v>
      </c>
      <c r="C9" s="9" t="s">
        <v>84</v>
      </c>
      <c r="D9" s="9" t="s">
        <v>34</v>
      </c>
      <c r="E9" s="9" t="s">
        <v>85</v>
      </c>
      <c r="F9" s="9" t="s">
        <v>86</v>
      </c>
      <c r="G9" s="9" t="s">
        <v>87</v>
      </c>
      <c r="H9" s="9" t="s">
        <v>88</v>
      </c>
      <c r="I9" s="8" t="s">
        <v>39</v>
      </c>
      <c r="J9" s="8" t="s">
        <v>40</v>
      </c>
      <c r="K9" s="8" t="s">
        <v>40</v>
      </c>
      <c r="L9" s="7" t="s">
        <v>41</v>
      </c>
      <c r="M9" s="7" t="s">
        <v>41</v>
      </c>
      <c r="N9" s="7" t="s">
        <v>41</v>
      </c>
    </row>
    <row r="10" ht="36" customHeight="1" spans="1:14" x14ac:dyDescent="0.25">
      <c r="A10" s="7" t="s">
        <v>89</v>
      </c>
      <c r="B10" s="7" t="s">
        <v>32</v>
      </c>
      <c r="C10" s="7" t="s">
        <v>90</v>
      </c>
      <c r="D10" s="7" t="s">
        <v>91</v>
      </c>
      <c r="E10" s="7" t="s">
        <v>92</v>
      </c>
      <c r="F10" s="7" t="s">
        <v>93</v>
      </c>
      <c r="G10" s="7" t="s">
        <v>94</v>
      </c>
      <c r="H10" s="7" t="s">
        <v>95</v>
      </c>
      <c r="I10" s="8" t="s">
        <v>39</v>
      </c>
      <c r="J10" s="8" t="s">
        <v>40</v>
      </c>
      <c r="K10" s="8" t="s">
        <v>40</v>
      </c>
      <c r="L10" s="7" t="s">
        <v>41</v>
      </c>
      <c r="M10" s="7" t="s">
        <v>41</v>
      </c>
      <c r="N10" s="7" t="s">
        <v>41</v>
      </c>
    </row>
    <row r="11" ht="36" customHeight="1" spans="1:14" x14ac:dyDescent="0.25">
      <c r="A11" s="9" t="s">
        <v>96</v>
      </c>
      <c r="B11" s="9" t="s">
        <v>32</v>
      </c>
      <c r="C11" s="9" t="s">
        <v>97</v>
      </c>
      <c r="D11" s="9" t="s">
        <v>98</v>
      </c>
      <c r="E11" s="9" t="s">
        <v>99</v>
      </c>
      <c r="F11" s="9" t="s">
        <v>100</v>
      </c>
      <c r="G11" s="9" t="s">
        <v>101</v>
      </c>
      <c r="H11" s="9" t="s">
        <v>102</v>
      </c>
      <c r="I11" s="8" t="s">
        <v>39</v>
      </c>
      <c r="J11" s="8" t="s">
        <v>40</v>
      </c>
      <c r="K11" s="8" t="s">
        <v>40</v>
      </c>
      <c r="L11" s="7" t="s">
        <v>41</v>
      </c>
      <c r="M11" s="7" t="s">
        <v>41</v>
      </c>
      <c r="N11" s="7" t="s">
        <v>41</v>
      </c>
    </row>
    <row r="12" ht="36" customHeight="1" spans="1:14" x14ac:dyDescent="0.25">
      <c r="A12" s="7" t="s">
        <v>103</v>
      </c>
      <c r="B12" s="7" t="s">
        <v>104</v>
      </c>
      <c r="C12" s="7" t="s">
        <v>105</v>
      </c>
      <c r="D12" s="7" t="s">
        <v>104</v>
      </c>
      <c r="E12" s="7" t="s">
        <v>106</v>
      </c>
      <c r="F12" s="7" t="s">
        <v>107</v>
      </c>
      <c r="G12" s="7" t="s">
        <v>108</v>
      </c>
      <c r="H12" s="7" t="s">
        <v>109</v>
      </c>
      <c r="I12" s="8" t="s">
        <v>39</v>
      </c>
      <c r="J12" s="8" t="s">
        <v>40</v>
      </c>
      <c r="K12" s="8" t="s">
        <v>40</v>
      </c>
      <c r="L12" s="7" t="s">
        <v>41</v>
      </c>
      <c r="M12" s="7" t="s">
        <v>41</v>
      </c>
      <c r="N12" s="7" t="s">
        <v>41</v>
      </c>
    </row>
    <row r="13" ht="36" customHeight="1" spans="1:14" x14ac:dyDescent="0.25">
      <c r="A13" s="9" t="s">
        <v>110</v>
      </c>
      <c r="B13" s="9" t="s">
        <v>104</v>
      </c>
      <c r="C13" s="9" t="s">
        <v>111</v>
      </c>
      <c r="D13" s="9" t="s">
        <v>34</v>
      </c>
      <c r="E13" s="9" t="s">
        <v>112</v>
      </c>
      <c r="F13" s="9" t="s">
        <v>107</v>
      </c>
      <c r="G13" s="9" t="s">
        <v>113</v>
      </c>
      <c r="H13" s="9" t="s">
        <v>114</v>
      </c>
      <c r="I13" s="8" t="s">
        <v>39</v>
      </c>
      <c r="J13" s="8" t="s">
        <v>40</v>
      </c>
      <c r="K13" s="8" t="s">
        <v>40</v>
      </c>
      <c r="L13" s="7" t="s">
        <v>41</v>
      </c>
      <c r="M13" s="7" t="s">
        <v>41</v>
      </c>
      <c r="N13" s="7" t="s">
        <v>41</v>
      </c>
    </row>
    <row r="14" ht="36" customHeight="1" spans="1:14" x14ac:dyDescent="0.25">
      <c r="A14" s="7" t="s">
        <v>115</v>
      </c>
      <c r="B14" s="7" t="s">
        <v>116</v>
      </c>
      <c r="C14" s="7" t="s">
        <v>117</v>
      </c>
      <c r="D14" s="7" t="s">
        <v>118</v>
      </c>
      <c r="E14" s="7" t="s">
        <v>119</v>
      </c>
      <c r="F14" s="7" t="s">
        <v>120</v>
      </c>
      <c r="G14" s="7" t="s">
        <v>121</v>
      </c>
      <c r="H14" s="7" t="s">
        <v>122</v>
      </c>
      <c r="I14" s="8" t="s">
        <v>39</v>
      </c>
      <c r="J14" s="8" t="s">
        <v>40</v>
      </c>
      <c r="K14" s="8" t="s">
        <v>40</v>
      </c>
      <c r="L14" s="7" t="s">
        <v>41</v>
      </c>
      <c r="M14" s="7" t="s">
        <v>41</v>
      </c>
      <c r="N14" s="7" t="s">
        <v>41</v>
      </c>
    </row>
    <row r="15" ht="36" customHeight="1" spans="1:14" x14ac:dyDescent="0.25">
      <c r="A15" s="9" t="s">
        <v>123</v>
      </c>
      <c r="B15" s="9" t="s">
        <v>116</v>
      </c>
      <c r="C15" s="9" t="s">
        <v>124</v>
      </c>
      <c r="D15" s="9" t="s">
        <v>51</v>
      </c>
      <c r="E15" s="9" t="s">
        <v>125</v>
      </c>
      <c r="F15" s="9" t="s">
        <v>126</v>
      </c>
      <c r="G15" s="9" t="s">
        <v>127</v>
      </c>
      <c r="H15" s="9" t="s">
        <v>128</v>
      </c>
      <c r="I15" s="8" t="s">
        <v>39</v>
      </c>
      <c r="J15" s="8" t="s">
        <v>40</v>
      </c>
      <c r="K15" s="8" t="s">
        <v>40</v>
      </c>
      <c r="L15" s="7" t="s">
        <v>41</v>
      </c>
      <c r="M15" s="7" t="s">
        <v>41</v>
      </c>
      <c r="N15" s="7" t="s">
        <v>41</v>
      </c>
    </row>
    <row r="16" ht="36" customHeight="1" spans="1:14" x14ac:dyDescent="0.25">
      <c r="A16" s="7" t="s">
        <v>129</v>
      </c>
      <c r="B16" s="7" t="s">
        <v>116</v>
      </c>
      <c r="C16" s="7" t="s">
        <v>130</v>
      </c>
      <c r="D16" s="7" t="s">
        <v>34</v>
      </c>
      <c r="E16" s="7" t="s">
        <v>79</v>
      </c>
      <c r="F16" s="7" t="s">
        <v>131</v>
      </c>
      <c r="G16" s="7" t="s">
        <v>132</v>
      </c>
      <c r="H16" s="7" t="s">
        <v>133</v>
      </c>
      <c r="I16" s="8" t="s">
        <v>39</v>
      </c>
      <c r="J16" s="8" t="s">
        <v>40</v>
      </c>
      <c r="K16" s="8" t="s">
        <v>40</v>
      </c>
      <c r="L16" s="7" t="s">
        <v>41</v>
      </c>
      <c r="M16" s="7" t="s">
        <v>41</v>
      </c>
      <c r="N16" s="7" t="s">
        <v>41</v>
      </c>
    </row>
    <row r="17" ht="36" customHeight="1" spans="1:14" x14ac:dyDescent="0.25">
      <c r="A17" s="9" t="s">
        <v>134</v>
      </c>
      <c r="B17" s="9" t="s">
        <v>116</v>
      </c>
      <c r="C17" s="9" t="s">
        <v>135</v>
      </c>
      <c r="D17" s="9" t="s">
        <v>34</v>
      </c>
      <c r="E17" s="9" t="s">
        <v>136</v>
      </c>
      <c r="F17" s="9" t="s">
        <v>137</v>
      </c>
      <c r="G17" s="9" t="s">
        <v>138</v>
      </c>
      <c r="H17" s="9" t="s">
        <v>139</v>
      </c>
      <c r="I17" s="8" t="s">
        <v>39</v>
      </c>
      <c r="J17" s="8" t="s">
        <v>40</v>
      </c>
      <c r="K17" s="8" t="s">
        <v>40</v>
      </c>
      <c r="L17" s="7" t="s">
        <v>41</v>
      </c>
      <c r="M17" s="7" t="s">
        <v>41</v>
      </c>
      <c r="N17" s="7" t="s">
        <v>41</v>
      </c>
    </row>
    <row r="18" ht="36" customHeight="1" spans="1:14" x14ac:dyDescent="0.25">
      <c r="A18" s="7" t="s">
        <v>140</v>
      </c>
      <c r="B18" s="7" t="s">
        <v>116</v>
      </c>
      <c r="C18" s="7" t="s">
        <v>141</v>
      </c>
      <c r="D18" s="7" t="s">
        <v>34</v>
      </c>
      <c r="E18" s="7" t="s">
        <v>136</v>
      </c>
      <c r="F18" s="7" t="s">
        <v>142</v>
      </c>
      <c r="G18" s="7" t="s">
        <v>143</v>
      </c>
      <c r="H18" s="7" t="s">
        <v>82</v>
      </c>
      <c r="I18" s="8" t="s">
        <v>39</v>
      </c>
      <c r="J18" s="8" t="s">
        <v>40</v>
      </c>
      <c r="K18" s="8" t="s">
        <v>40</v>
      </c>
      <c r="L18" s="7" t="s">
        <v>41</v>
      </c>
      <c r="M18" s="7" t="s">
        <v>41</v>
      </c>
      <c r="N18" s="7" t="s">
        <v>41</v>
      </c>
    </row>
    <row r="19" ht="36" customHeight="1" spans="1:14" x14ac:dyDescent="0.25">
      <c r="A19" s="9" t="s">
        <v>144</v>
      </c>
      <c r="B19" s="9" t="s">
        <v>116</v>
      </c>
      <c r="C19" s="9" t="s">
        <v>145</v>
      </c>
      <c r="D19" s="9" t="s">
        <v>34</v>
      </c>
      <c r="E19" s="9" t="s">
        <v>146</v>
      </c>
      <c r="F19" s="9" t="s">
        <v>147</v>
      </c>
      <c r="G19" s="9" t="s">
        <v>148</v>
      </c>
      <c r="H19" s="9" t="s">
        <v>149</v>
      </c>
      <c r="I19" s="8" t="s">
        <v>39</v>
      </c>
      <c r="J19" s="8" t="s">
        <v>40</v>
      </c>
      <c r="K19" s="8" t="s">
        <v>40</v>
      </c>
      <c r="L19" s="7" t="s">
        <v>41</v>
      </c>
      <c r="M19" s="7" t="s">
        <v>41</v>
      </c>
      <c r="N19" s="7" t="s">
        <v>41</v>
      </c>
    </row>
    <row r="20" ht="36" customHeight="1" spans="1:14" x14ac:dyDescent="0.25">
      <c r="A20" s="7" t="s">
        <v>150</v>
      </c>
      <c r="B20" s="7" t="s">
        <v>116</v>
      </c>
      <c r="C20" s="7" t="s">
        <v>151</v>
      </c>
      <c r="D20" s="7" t="s">
        <v>34</v>
      </c>
      <c r="E20" s="7" t="s">
        <v>152</v>
      </c>
      <c r="F20" s="7" t="s">
        <v>86</v>
      </c>
      <c r="G20" s="7" t="s">
        <v>153</v>
      </c>
      <c r="H20" s="7" t="s">
        <v>154</v>
      </c>
      <c r="I20" s="8" t="s">
        <v>39</v>
      </c>
      <c r="J20" s="8" t="s">
        <v>40</v>
      </c>
      <c r="K20" s="8" t="s">
        <v>40</v>
      </c>
      <c r="L20" s="7" t="s">
        <v>41</v>
      </c>
      <c r="M20" s="7" t="s">
        <v>41</v>
      </c>
      <c r="N20" s="7" t="s">
        <v>41</v>
      </c>
    </row>
    <row r="21" ht="36" customHeight="1" spans="1:14" x14ac:dyDescent="0.25">
      <c r="A21" s="9" t="s">
        <v>155</v>
      </c>
      <c r="B21" s="9" t="s">
        <v>116</v>
      </c>
      <c r="C21" s="9" t="s">
        <v>156</v>
      </c>
      <c r="D21" s="9" t="s">
        <v>34</v>
      </c>
      <c r="E21" s="9" t="s">
        <v>157</v>
      </c>
      <c r="F21" s="9" t="s">
        <v>158</v>
      </c>
      <c r="G21" s="9" t="s">
        <v>159</v>
      </c>
      <c r="H21" s="9" t="s">
        <v>160</v>
      </c>
      <c r="I21" s="8" t="s">
        <v>39</v>
      </c>
      <c r="J21" s="8" t="s">
        <v>40</v>
      </c>
      <c r="K21" s="8" t="s">
        <v>40</v>
      </c>
      <c r="L21" s="7" t="s">
        <v>41</v>
      </c>
      <c r="M21" s="7" t="s">
        <v>41</v>
      </c>
      <c r="N21" s="7" t="s">
        <v>41</v>
      </c>
    </row>
    <row r="22" ht="36" customHeight="1" spans="1:14" x14ac:dyDescent="0.25">
      <c r="A22" s="7" t="s">
        <v>161</v>
      </c>
      <c r="B22" s="7" t="s">
        <v>116</v>
      </c>
      <c r="C22" s="7" t="s">
        <v>162</v>
      </c>
      <c r="D22" s="7" t="s">
        <v>34</v>
      </c>
      <c r="E22" s="7" t="s">
        <v>163</v>
      </c>
      <c r="F22" s="7" t="s">
        <v>158</v>
      </c>
      <c r="G22" s="7" t="s">
        <v>164</v>
      </c>
      <c r="H22" s="7" t="s">
        <v>165</v>
      </c>
      <c r="I22" s="8" t="s">
        <v>39</v>
      </c>
      <c r="J22" s="8" t="s">
        <v>40</v>
      </c>
      <c r="K22" s="8" t="s">
        <v>40</v>
      </c>
      <c r="L22" s="7" t="s">
        <v>41</v>
      </c>
      <c r="M22" s="7" t="s">
        <v>41</v>
      </c>
      <c r="N22" s="7" t="s">
        <v>41</v>
      </c>
    </row>
    <row r="23" ht="36" customHeight="1" spans="1:14" x14ac:dyDescent="0.25">
      <c r="A23" s="9" t="s">
        <v>166</v>
      </c>
      <c r="B23" s="9" t="s">
        <v>116</v>
      </c>
      <c r="C23" s="9" t="s">
        <v>167</v>
      </c>
      <c r="D23" s="9" t="s">
        <v>34</v>
      </c>
      <c r="E23" s="9" t="s">
        <v>168</v>
      </c>
      <c r="F23" s="9" t="s">
        <v>169</v>
      </c>
      <c r="G23" s="9" t="s">
        <v>170</v>
      </c>
      <c r="H23" s="9" t="s">
        <v>171</v>
      </c>
      <c r="I23" s="8" t="s">
        <v>39</v>
      </c>
      <c r="J23" s="8" t="s">
        <v>40</v>
      </c>
      <c r="K23" s="8" t="s">
        <v>40</v>
      </c>
      <c r="L23" s="7" t="s">
        <v>41</v>
      </c>
      <c r="M23" s="7" t="s">
        <v>41</v>
      </c>
      <c r="N23" s="7" t="s">
        <v>41</v>
      </c>
    </row>
    <row r="24" ht="36" customHeight="1" spans="1:14" x14ac:dyDescent="0.25">
      <c r="A24" s="7" t="s">
        <v>172</v>
      </c>
      <c r="B24" s="7" t="s">
        <v>116</v>
      </c>
      <c r="C24" s="7" t="s">
        <v>173</v>
      </c>
      <c r="D24" s="7" t="s">
        <v>34</v>
      </c>
      <c r="E24" s="7" t="s">
        <v>174</v>
      </c>
      <c r="F24" s="7" t="s">
        <v>175</v>
      </c>
      <c r="G24" s="7" t="s">
        <v>176</v>
      </c>
      <c r="H24" s="7" t="s">
        <v>177</v>
      </c>
      <c r="I24" s="8" t="s">
        <v>39</v>
      </c>
      <c r="J24" s="8" t="s">
        <v>40</v>
      </c>
      <c r="K24" s="8" t="s">
        <v>40</v>
      </c>
      <c r="L24" s="7" t="s">
        <v>41</v>
      </c>
      <c r="M24" s="7" t="s">
        <v>41</v>
      </c>
      <c r="N24" s="7" t="s">
        <v>41</v>
      </c>
    </row>
    <row r="25" ht="36" customHeight="1" spans="1:14" x14ac:dyDescent="0.25">
      <c r="A25" s="9" t="s">
        <v>178</v>
      </c>
      <c r="B25" s="9" t="s">
        <v>116</v>
      </c>
      <c r="C25" s="9" t="s">
        <v>179</v>
      </c>
      <c r="D25" s="9" t="s">
        <v>34</v>
      </c>
      <c r="E25" s="9" t="s">
        <v>180</v>
      </c>
      <c r="F25" s="9" t="s">
        <v>181</v>
      </c>
      <c r="G25" s="9" t="s">
        <v>182</v>
      </c>
      <c r="H25" s="9" t="s">
        <v>183</v>
      </c>
      <c r="I25" s="8" t="s">
        <v>39</v>
      </c>
      <c r="J25" s="8" t="s">
        <v>40</v>
      </c>
      <c r="K25" s="8" t="s">
        <v>40</v>
      </c>
      <c r="L25" s="7" t="s">
        <v>41</v>
      </c>
      <c r="M25" s="7" t="s">
        <v>41</v>
      </c>
      <c r="N25" s="7" t="s">
        <v>41</v>
      </c>
    </row>
    <row r="26" ht="36" customHeight="1" spans="1:14" x14ac:dyDescent="0.25">
      <c r="A26" s="7" t="s">
        <v>184</v>
      </c>
      <c r="B26" s="7" t="s">
        <v>116</v>
      </c>
      <c r="C26" s="7" t="s">
        <v>185</v>
      </c>
      <c r="D26" s="7" t="s">
        <v>118</v>
      </c>
      <c r="E26" s="7" t="s">
        <v>119</v>
      </c>
      <c r="F26" s="7" t="s">
        <v>186</v>
      </c>
      <c r="G26" s="7" t="s">
        <v>187</v>
      </c>
      <c r="H26" s="7" t="s">
        <v>188</v>
      </c>
      <c r="I26" s="8" t="s">
        <v>39</v>
      </c>
      <c r="J26" s="8" t="s">
        <v>40</v>
      </c>
      <c r="K26" s="8" t="s">
        <v>40</v>
      </c>
      <c r="L26" s="7" t="s">
        <v>41</v>
      </c>
      <c r="M26" s="7" t="s">
        <v>41</v>
      </c>
      <c r="N26" s="7" t="s">
        <v>41</v>
      </c>
    </row>
    <row r="27" ht="36" customHeight="1" spans="1:14" x14ac:dyDescent="0.25">
      <c r="A27" s="9" t="s">
        <v>189</v>
      </c>
      <c r="B27" s="9" t="s">
        <v>116</v>
      </c>
      <c r="C27" s="9" t="s">
        <v>190</v>
      </c>
      <c r="D27" s="9" t="s">
        <v>34</v>
      </c>
      <c r="E27" s="9" t="s">
        <v>191</v>
      </c>
      <c r="F27" s="9" t="s">
        <v>192</v>
      </c>
      <c r="G27" s="9" t="s">
        <v>193</v>
      </c>
      <c r="H27" s="9" t="s">
        <v>194</v>
      </c>
      <c r="I27" s="8" t="s">
        <v>39</v>
      </c>
      <c r="J27" s="8" t="s">
        <v>40</v>
      </c>
      <c r="K27" s="8" t="s">
        <v>40</v>
      </c>
      <c r="L27" s="7" t="s">
        <v>41</v>
      </c>
      <c r="M27" s="7" t="s">
        <v>41</v>
      </c>
      <c r="N27" s="7" t="s">
        <v>41</v>
      </c>
    </row>
    <row r="28" ht="36" customHeight="1" spans="1:14" x14ac:dyDescent="0.25">
      <c r="A28" s="7" t="s">
        <v>195</v>
      </c>
      <c r="B28" s="7" t="s">
        <v>196</v>
      </c>
      <c r="C28" s="7" t="s">
        <v>197</v>
      </c>
      <c r="D28" s="7" t="s">
        <v>44</v>
      </c>
      <c r="E28" s="7" t="s">
        <v>198</v>
      </c>
      <c r="F28" s="7" t="s">
        <v>199</v>
      </c>
      <c r="G28" s="7" t="s">
        <v>200</v>
      </c>
      <c r="H28" s="7" t="s">
        <v>201</v>
      </c>
      <c r="I28" s="8" t="s">
        <v>39</v>
      </c>
      <c r="J28" s="8" t="s">
        <v>40</v>
      </c>
      <c r="K28" s="8" t="s">
        <v>40</v>
      </c>
      <c r="L28" s="7" t="s">
        <v>41</v>
      </c>
      <c r="M28" s="7" t="s">
        <v>41</v>
      </c>
      <c r="N28" s="7" t="s">
        <v>41</v>
      </c>
    </row>
    <row r="29" ht="36" customHeight="1" spans="1:14" x14ac:dyDescent="0.25">
      <c r="A29" s="9" t="s">
        <v>202</v>
      </c>
      <c r="B29" s="9" t="s">
        <v>196</v>
      </c>
      <c r="C29" s="9" t="s">
        <v>203</v>
      </c>
      <c r="D29" s="9" t="s">
        <v>44</v>
      </c>
      <c r="E29" s="9" t="s">
        <v>204</v>
      </c>
      <c r="F29" s="9" t="s">
        <v>205</v>
      </c>
      <c r="G29" s="9" t="s">
        <v>206</v>
      </c>
      <c r="H29" s="9" t="s">
        <v>201</v>
      </c>
      <c r="I29" s="8" t="s">
        <v>39</v>
      </c>
      <c r="J29" s="8" t="s">
        <v>40</v>
      </c>
      <c r="K29" s="8" t="s">
        <v>40</v>
      </c>
      <c r="L29" s="7" t="s">
        <v>41</v>
      </c>
      <c r="M29" s="7" t="s">
        <v>41</v>
      </c>
      <c r="N29" s="7" t="s">
        <v>41</v>
      </c>
    </row>
    <row r="30" ht="36" customHeight="1" spans="1:14" x14ac:dyDescent="0.25">
      <c r="A30" s="7" t="s">
        <v>207</v>
      </c>
      <c r="B30" s="7" t="s">
        <v>196</v>
      </c>
      <c r="C30" s="7" t="s">
        <v>208</v>
      </c>
      <c r="D30" s="7" t="s">
        <v>44</v>
      </c>
      <c r="E30" s="7" t="s">
        <v>209</v>
      </c>
      <c r="F30" s="7" t="s">
        <v>210</v>
      </c>
      <c r="G30" s="7" t="s">
        <v>211</v>
      </c>
      <c r="H30" s="7" t="s">
        <v>212</v>
      </c>
      <c r="I30" s="8" t="s">
        <v>39</v>
      </c>
      <c r="J30" s="8" t="s">
        <v>40</v>
      </c>
      <c r="K30" s="8" t="s">
        <v>40</v>
      </c>
      <c r="L30" s="7" t="s">
        <v>41</v>
      </c>
      <c r="M30" s="7" t="s">
        <v>41</v>
      </c>
      <c r="N30" s="7" t="s">
        <v>41</v>
      </c>
    </row>
    <row r="31" ht="36" customHeight="1" spans="1:14" x14ac:dyDescent="0.25">
      <c r="A31" s="9" t="s">
        <v>213</v>
      </c>
      <c r="B31" s="9" t="s">
        <v>196</v>
      </c>
      <c r="C31" s="9" t="s">
        <v>214</v>
      </c>
      <c r="D31" s="9" t="s">
        <v>44</v>
      </c>
      <c r="E31" s="9" t="s">
        <v>215</v>
      </c>
      <c r="F31" s="9" t="s">
        <v>210</v>
      </c>
      <c r="G31" s="9" t="s">
        <v>216</v>
      </c>
      <c r="H31" s="9" t="s">
        <v>217</v>
      </c>
      <c r="I31" s="8" t="s">
        <v>39</v>
      </c>
      <c r="J31" s="8" t="s">
        <v>40</v>
      </c>
      <c r="K31" s="8" t="s">
        <v>40</v>
      </c>
      <c r="L31" s="7" t="s">
        <v>41</v>
      </c>
      <c r="M31" s="7" t="s">
        <v>41</v>
      </c>
      <c r="N31" s="7" t="s">
        <v>41</v>
      </c>
    </row>
    <row r="32" ht="36" customHeight="1" spans="1:14" x14ac:dyDescent="0.25">
      <c r="A32" s="7" t="s">
        <v>218</v>
      </c>
      <c r="B32" s="7" t="s">
        <v>196</v>
      </c>
      <c r="C32" s="7" t="s">
        <v>219</v>
      </c>
      <c r="D32" s="7" t="s">
        <v>220</v>
      </c>
      <c r="E32" s="7" t="s">
        <v>221</v>
      </c>
      <c r="F32" s="7" t="s">
        <v>222</v>
      </c>
      <c r="G32" s="7" t="s">
        <v>223</v>
      </c>
      <c r="H32" s="7" t="s">
        <v>224</v>
      </c>
      <c r="I32" s="8" t="s">
        <v>39</v>
      </c>
      <c r="J32" s="8" t="s">
        <v>40</v>
      </c>
      <c r="K32" s="8" t="s">
        <v>40</v>
      </c>
      <c r="L32" s="7" t="s">
        <v>41</v>
      </c>
      <c r="M32" s="7" t="s">
        <v>41</v>
      </c>
      <c r="N32" s="7" t="s">
        <v>41</v>
      </c>
    </row>
    <row r="33" ht="36" customHeight="1" spans="1:14" x14ac:dyDescent="0.25">
      <c r="A33" s="9" t="s">
        <v>225</v>
      </c>
      <c r="B33" s="9" t="s">
        <v>196</v>
      </c>
      <c r="C33" s="9" t="s">
        <v>226</v>
      </c>
      <c r="D33" s="9" t="s">
        <v>227</v>
      </c>
      <c r="E33" s="9" t="s">
        <v>228</v>
      </c>
      <c r="F33" s="9" t="s">
        <v>229</v>
      </c>
      <c r="G33" s="9" t="s">
        <v>230</v>
      </c>
      <c r="H33" s="9" t="s">
        <v>231</v>
      </c>
      <c r="I33" s="8" t="s">
        <v>39</v>
      </c>
      <c r="J33" s="8" t="s">
        <v>40</v>
      </c>
      <c r="K33" s="8" t="s">
        <v>40</v>
      </c>
      <c r="L33" s="7" t="s">
        <v>41</v>
      </c>
      <c r="M33" s="7" t="s">
        <v>41</v>
      </c>
      <c r="N33" s="7" t="s">
        <v>41</v>
      </c>
    </row>
    <row r="34" ht="36" customHeight="1" spans="1:14" x14ac:dyDescent="0.25">
      <c r="A34" s="7" t="s">
        <v>232</v>
      </c>
      <c r="B34" s="7" t="s">
        <v>196</v>
      </c>
      <c r="C34" s="7" t="s">
        <v>233</v>
      </c>
      <c r="D34" s="7" t="s">
        <v>234</v>
      </c>
      <c r="E34" s="7" t="s">
        <v>235</v>
      </c>
      <c r="F34" s="7" t="s">
        <v>236</v>
      </c>
      <c r="G34" s="7" t="s">
        <v>237</v>
      </c>
      <c r="H34" s="7" t="s">
        <v>238</v>
      </c>
      <c r="I34" s="8" t="s">
        <v>39</v>
      </c>
      <c r="J34" s="8" t="s">
        <v>40</v>
      </c>
      <c r="K34" s="8" t="s">
        <v>40</v>
      </c>
      <c r="L34" s="7" t="s">
        <v>41</v>
      </c>
      <c r="M34" s="7" t="s">
        <v>41</v>
      </c>
      <c r="N34" s="7" t="s">
        <v>41</v>
      </c>
    </row>
    <row r="35" ht="36" customHeight="1" spans="1:14" x14ac:dyDescent="0.25">
      <c r="A35" s="9" t="s">
        <v>239</v>
      </c>
      <c r="B35" s="9" t="s">
        <v>196</v>
      </c>
      <c r="C35" s="9" t="s">
        <v>240</v>
      </c>
      <c r="D35" s="9" t="s">
        <v>234</v>
      </c>
      <c r="E35" s="9" t="s">
        <v>241</v>
      </c>
      <c r="F35" s="9" t="s">
        <v>242</v>
      </c>
      <c r="G35" s="9" t="s">
        <v>243</v>
      </c>
      <c r="H35" s="9" t="s">
        <v>244</v>
      </c>
      <c r="I35" s="8" t="s">
        <v>39</v>
      </c>
      <c r="J35" s="8" t="s">
        <v>40</v>
      </c>
      <c r="K35" s="8" t="s">
        <v>40</v>
      </c>
      <c r="L35" s="7" t="s">
        <v>41</v>
      </c>
      <c r="M35" s="7" t="s">
        <v>41</v>
      </c>
      <c r="N35" s="7" t="s">
        <v>41</v>
      </c>
    </row>
    <row r="36" ht="36" customHeight="1" spans="1:14" x14ac:dyDescent="0.25">
      <c r="A36" s="7" t="s">
        <v>245</v>
      </c>
      <c r="B36" s="7" t="s">
        <v>196</v>
      </c>
      <c r="C36" s="7" t="s">
        <v>246</v>
      </c>
      <c r="D36" s="7" t="s">
        <v>247</v>
      </c>
      <c r="E36" s="7" t="s">
        <v>248</v>
      </c>
      <c r="F36" s="7" t="s">
        <v>249</v>
      </c>
      <c r="G36" s="7" t="s">
        <v>250</v>
      </c>
      <c r="H36" s="7" t="s">
        <v>251</v>
      </c>
      <c r="I36" s="8" t="s">
        <v>39</v>
      </c>
      <c r="J36" s="8" t="s">
        <v>40</v>
      </c>
      <c r="K36" s="8" t="s">
        <v>40</v>
      </c>
      <c r="L36" s="7" t="s">
        <v>41</v>
      </c>
      <c r="M36" s="7" t="s">
        <v>41</v>
      </c>
      <c r="N36" s="7" t="s">
        <v>41</v>
      </c>
    </row>
    <row r="37" ht="36" customHeight="1" spans="1:14" x14ac:dyDescent="0.25">
      <c r="A37" s="9" t="s">
        <v>252</v>
      </c>
      <c r="B37" s="9" t="s">
        <v>196</v>
      </c>
      <c r="C37" s="9" t="s">
        <v>253</v>
      </c>
      <c r="D37" s="9" t="s">
        <v>34</v>
      </c>
      <c r="E37" s="9" t="s">
        <v>254</v>
      </c>
      <c r="F37" s="9" t="s">
        <v>255</v>
      </c>
      <c r="G37" s="9" t="s">
        <v>256</v>
      </c>
      <c r="H37" s="9" t="s">
        <v>257</v>
      </c>
      <c r="I37" s="8" t="s">
        <v>39</v>
      </c>
      <c r="J37" s="8" t="s">
        <v>40</v>
      </c>
      <c r="K37" s="8" t="s">
        <v>40</v>
      </c>
      <c r="L37" s="7" t="s">
        <v>41</v>
      </c>
      <c r="M37" s="7" t="s">
        <v>41</v>
      </c>
      <c r="N37" s="7" t="s">
        <v>41</v>
      </c>
    </row>
    <row r="38" ht="36" customHeight="1" spans="1:14" x14ac:dyDescent="0.25">
      <c r="A38" s="7" t="s">
        <v>258</v>
      </c>
      <c r="B38" s="7" t="s">
        <v>196</v>
      </c>
      <c r="C38" s="7" t="s">
        <v>259</v>
      </c>
      <c r="D38" s="7" t="s">
        <v>260</v>
      </c>
      <c r="E38" s="7" t="s">
        <v>261</v>
      </c>
      <c r="F38" s="7" t="s">
        <v>253</v>
      </c>
      <c r="G38" s="7" t="s">
        <v>187</v>
      </c>
      <c r="H38" s="7" t="s">
        <v>262</v>
      </c>
      <c r="I38" s="8" t="s">
        <v>39</v>
      </c>
      <c r="J38" s="8" t="s">
        <v>40</v>
      </c>
      <c r="K38" s="8" t="s">
        <v>40</v>
      </c>
      <c r="L38" s="7" t="s">
        <v>41</v>
      </c>
      <c r="M38" s="7" t="s">
        <v>41</v>
      </c>
      <c r="N38" s="7" t="s">
        <v>41</v>
      </c>
    </row>
    <row r="39" ht="36" customHeight="1" spans="1:14" x14ac:dyDescent="0.25">
      <c r="A39" s="9" t="s">
        <v>263</v>
      </c>
      <c r="B39" s="9" t="s">
        <v>196</v>
      </c>
      <c r="C39" s="9" t="s">
        <v>264</v>
      </c>
      <c r="D39" s="9" t="s">
        <v>234</v>
      </c>
      <c r="E39" s="9" t="s">
        <v>221</v>
      </c>
      <c r="F39" s="9" t="s">
        <v>265</v>
      </c>
      <c r="G39" s="9" t="s">
        <v>266</v>
      </c>
      <c r="H39" s="9" t="s">
        <v>267</v>
      </c>
      <c r="I39" s="8" t="s">
        <v>39</v>
      </c>
      <c r="J39" s="8" t="s">
        <v>40</v>
      </c>
      <c r="K39" s="8" t="s">
        <v>40</v>
      </c>
      <c r="L39" s="7" t="s">
        <v>41</v>
      </c>
      <c r="M39" s="7" t="s">
        <v>41</v>
      </c>
      <c r="N39" s="7" t="s">
        <v>41</v>
      </c>
    </row>
    <row r="40" ht="36" customHeight="1" spans="1:14" x14ac:dyDescent="0.25">
      <c r="A40" s="7" t="s">
        <v>268</v>
      </c>
      <c r="B40" s="7" t="s">
        <v>269</v>
      </c>
      <c r="C40" s="7" t="s">
        <v>270</v>
      </c>
      <c r="D40" s="7" t="s">
        <v>34</v>
      </c>
      <c r="E40" s="7" t="s">
        <v>271</v>
      </c>
      <c r="F40" s="7" t="s">
        <v>272</v>
      </c>
      <c r="G40" s="7" t="s">
        <v>273</v>
      </c>
      <c r="H40" s="7" t="s">
        <v>274</v>
      </c>
      <c r="I40" s="8" t="s">
        <v>39</v>
      </c>
      <c r="J40" s="8" t="s">
        <v>40</v>
      </c>
      <c r="K40" s="8" t="s">
        <v>40</v>
      </c>
      <c r="L40" s="7" t="s">
        <v>41</v>
      </c>
      <c r="M40" s="7" t="s">
        <v>41</v>
      </c>
      <c r="N40" s="7" t="s">
        <v>41</v>
      </c>
    </row>
    <row r="41" ht="36" customHeight="1" spans="1:14" x14ac:dyDescent="0.25">
      <c r="A41" s="9" t="s">
        <v>275</v>
      </c>
      <c r="B41" s="9" t="s">
        <v>269</v>
      </c>
      <c r="C41" s="9" t="s">
        <v>276</v>
      </c>
      <c r="D41" s="9" t="s">
        <v>34</v>
      </c>
      <c r="E41" s="9" t="s">
        <v>277</v>
      </c>
      <c r="F41" s="9" t="s">
        <v>278</v>
      </c>
      <c r="G41" s="9" t="s">
        <v>279</v>
      </c>
      <c r="H41" s="9" t="s">
        <v>280</v>
      </c>
      <c r="I41" s="8" t="s">
        <v>39</v>
      </c>
      <c r="J41" s="8" t="s">
        <v>40</v>
      </c>
      <c r="K41" s="8" t="s">
        <v>40</v>
      </c>
      <c r="L41" s="7" t="s">
        <v>41</v>
      </c>
      <c r="M41" s="7" t="s">
        <v>41</v>
      </c>
      <c r="N41" s="7" t="s">
        <v>41</v>
      </c>
    </row>
    <row r="42" ht="36" customHeight="1" spans="1:14" x14ac:dyDescent="0.25">
      <c r="A42" s="7" t="s">
        <v>281</v>
      </c>
      <c r="B42" s="7" t="s">
        <v>269</v>
      </c>
      <c r="C42" s="7" t="s">
        <v>282</v>
      </c>
      <c r="D42" s="7" t="s">
        <v>34</v>
      </c>
      <c r="E42" s="7" t="s">
        <v>277</v>
      </c>
      <c r="F42" s="7" t="s">
        <v>283</v>
      </c>
      <c r="G42" s="7" t="s">
        <v>284</v>
      </c>
      <c r="H42" s="7" t="s">
        <v>285</v>
      </c>
      <c r="I42" s="8" t="s">
        <v>39</v>
      </c>
      <c r="J42" s="8" t="s">
        <v>40</v>
      </c>
      <c r="K42" s="8" t="s">
        <v>40</v>
      </c>
      <c r="L42" s="7" t="s">
        <v>41</v>
      </c>
      <c r="M42" s="7" t="s">
        <v>41</v>
      </c>
      <c r="N42" s="7" t="s">
        <v>41</v>
      </c>
    </row>
    <row r="43" ht="36" customHeight="1" spans="1:14" x14ac:dyDescent="0.25">
      <c r="A43" s="9" t="s">
        <v>286</v>
      </c>
      <c r="B43" s="9" t="s">
        <v>269</v>
      </c>
      <c r="C43" s="9" t="s">
        <v>287</v>
      </c>
      <c r="D43" s="9" t="s">
        <v>288</v>
      </c>
      <c r="E43" s="9" t="s">
        <v>289</v>
      </c>
      <c r="F43" s="9" t="s">
        <v>290</v>
      </c>
      <c r="G43" s="9" t="s">
        <v>291</v>
      </c>
      <c r="H43" s="9" t="s">
        <v>285</v>
      </c>
      <c r="I43" s="8" t="s">
        <v>39</v>
      </c>
      <c r="J43" s="8" t="s">
        <v>40</v>
      </c>
      <c r="K43" s="8" t="s">
        <v>40</v>
      </c>
      <c r="L43" s="7" t="s">
        <v>41</v>
      </c>
      <c r="M43" s="7" t="s">
        <v>41</v>
      </c>
      <c r="N43" s="7" t="s">
        <v>41</v>
      </c>
    </row>
    <row r="44" ht="36" customHeight="1" spans="1:14" x14ac:dyDescent="0.25">
      <c r="A44" s="7" t="s">
        <v>292</v>
      </c>
      <c r="B44" s="7" t="s">
        <v>269</v>
      </c>
      <c r="C44" s="7" t="s">
        <v>293</v>
      </c>
      <c r="D44" s="7" t="s">
        <v>34</v>
      </c>
      <c r="E44" s="7" t="s">
        <v>294</v>
      </c>
      <c r="F44" s="7" t="s">
        <v>295</v>
      </c>
      <c r="G44" s="7" t="s">
        <v>296</v>
      </c>
      <c r="H44" s="7" t="s">
        <v>297</v>
      </c>
      <c r="I44" s="8" t="s">
        <v>39</v>
      </c>
      <c r="J44" s="8" t="s">
        <v>40</v>
      </c>
      <c r="K44" s="8" t="s">
        <v>40</v>
      </c>
      <c r="L44" s="7" t="s">
        <v>41</v>
      </c>
      <c r="M44" s="7" t="s">
        <v>41</v>
      </c>
      <c r="N44" s="7" t="s">
        <v>41</v>
      </c>
    </row>
    <row r="45" ht="36" customHeight="1" spans="1:14" x14ac:dyDescent="0.25">
      <c r="A45" s="9" t="s">
        <v>298</v>
      </c>
      <c r="B45" s="9" t="s">
        <v>269</v>
      </c>
      <c r="C45" s="9" t="s">
        <v>299</v>
      </c>
      <c r="D45" s="9" t="s">
        <v>300</v>
      </c>
      <c r="E45" s="9" t="s">
        <v>301</v>
      </c>
      <c r="F45" s="9" t="s">
        <v>302</v>
      </c>
      <c r="G45" s="9" t="s">
        <v>303</v>
      </c>
      <c r="H45" s="9" t="s">
        <v>304</v>
      </c>
      <c r="I45" s="8" t="s">
        <v>39</v>
      </c>
      <c r="J45" s="8" t="s">
        <v>40</v>
      </c>
      <c r="K45" s="8" t="s">
        <v>40</v>
      </c>
      <c r="L45" s="7" t="s">
        <v>41</v>
      </c>
      <c r="M45" s="7" t="s">
        <v>41</v>
      </c>
      <c r="N45" s="7" t="s">
        <v>41</v>
      </c>
    </row>
    <row r="46" ht="36" customHeight="1" spans="1:14" x14ac:dyDescent="0.25">
      <c r="A46" s="7" t="s">
        <v>305</v>
      </c>
      <c r="B46" s="7" t="s">
        <v>269</v>
      </c>
      <c r="C46" s="7" t="s">
        <v>306</v>
      </c>
      <c r="D46" s="7" t="s">
        <v>307</v>
      </c>
      <c r="E46" s="7" t="s">
        <v>308</v>
      </c>
      <c r="F46" s="7" t="s">
        <v>309</v>
      </c>
      <c r="G46" s="7" t="s">
        <v>310</v>
      </c>
      <c r="H46" s="7" t="s">
        <v>311</v>
      </c>
      <c r="I46" s="8" t="s">
        <v>39</v>
      </c>
      <c r="J46" s="8" t="s">
        <v>40</v>
      </c>
      <c r="K46" s="8" t="s">
        <v>40</v>
      </c>
      <c r="L46" s="7" t="s">
        <v>41</v>
      </c>
      <c r="M46" s="7" t="s">
        <v>41</v>
      </c>
      <c r="N46" s="7" t="s">
        <v>41</v>
      </c>
    </row>
    <row r="47" ht="36" customHeight="1" spans="1:14" x14ac:dyDescent="0.25">
      <c r="A47" s="9" t="s">
        <v>312</v>
      </c>
      <c r="B47" s="9" t="s">
        <v>269</v>
      </c>
      <c r="C47" s="9" t="s">
        <v>313</v>
      </c>
      <c r="D47" s="9" t="s">
        <v>314</v>
      </c>
      <c r="E47" s="9" t="s">
        <v>315</v>
      </c>
      <c r="F47" s="9" t="s">
        <v>316</v>
      </c>
      <c r="G47" s="9" t="s">
        <v>317</v>
      </c>
      <c r="H47" s="9" t="s">
        <v>318</v>
      </c>
      <c r="I47" s="8" t="s">
        <v>39</v>
      </c>
      <c r="J47" s="8" t="s">
        <v>40</v>
      </c>
      <c r="K47" s="8" t="s">
        <v>40</v>
      </c>
      <c r="L47" s="7" t="s">
        <v>41</v>
      </c>
      <c r="M47" s="7" t="s">
        <v>41</v>
      </c>
      <c r="N47" s="7" t="s">
        <v>41</v>
      </c>
    </row>
    <row r="48" ht="36" customHeight="1" spans="1:14" x14ac:dyDescent="0.25">
      <c r="A48" s="7" t="s">
        <v>319</v>
      </c>
      <c r="B48" s="7" t="s">
        <v>269</v>
      </c>
      <c r="C48" s="7" t="s">
        <v>320</v>
      </c>
      <c r="D48" s="7" t="s">
        <v>321</v>
      </c>
      <c r="E48" s="7" t="s">
        <v>322</v>
      </c>
      <c r="F48" s="7" t="s">
        <v>323</v>
      </c>
      <c r="G48" s="7" t="s">
        <v>324</v>
      </c>
      <c r="H48" s="7" t="s">
        <v>285</v>
      </c>
      <c r="I48" s="8" t="s">
        <v>39</v>
      </c>
      <c r="J48" s="8" t="s">
        <v>40</v>
      </c>
      <c r="K48" s="8" t="s">
        <v>40</v>
      </c>
      <c r="L48" s="7" t="s">
        <v>41</v>
      </c>
      <c r="M48" s="7" t="s">
        <v>41</v>
      </c>
      <c r="N48" s="7" t="s">
        <v>41</v>
      </c>
    </row>
    <row r="49" ht="36" customHeight="1" spans="1:14" x14ac:dyDescent="0.25">
      <c r="A49" s="9" t="s">
        <v>325</v>
      </c>
      <c r="B49" s="9" t="s">
        <v>269</v>
      </c>
      <c r="C49" s="9" t="s">
        <v>326</v>
      </c>
      <c r="D49" s="9" t="s">
        <v>34</v>
      </c>
      <c r="E49" s="9" t="s">
        <v>308</v>
      </c>
      <c r="F49" s="9" t="s">
        <v>327</v>
      </c>
      <c r="G49" s="9" t="s">
        <v>328</v>
      </c>
      <c r="H49" s="9" t="s">
        <v>329</v>
      </c>
      <c r="I49" s="8" t="s">
        <v>39</v>
      </c>
      <c r="J49" s="8" t="s">
        <v>40</v>
      </c>
      <c r="K49" s="8" t="s">
        <v>40</v>
      </c>
      <c r="L49" s="7" t="s">
        <v>41</v>
      </c>
      <c r="M49" s="7" t="s">
        <v>41</v>
      </c>
      <c r="N49" s="7" t="s">
        <v>41</v>
      </c>
    </row>
    <row r="50" ht="36" customHeight="1" spans="1:14" x14ac:dyDescent="0.25">
      <c r="A50" s="7" t="s">
        <v>330</v>
      </c>
      <c r="B50" s="7" t="s">
        <v>269</v>
      </c>
      <c r="C50" s="7" t="s">
        <v>331</v>
      </c>
      <c r="D50" s="7" t="s">
        <v>332</v>
      </c>
      <c r="E50" s="7" t="s">
        <v>333</v>
      </c>
      <c r="F50" s="7" t="s">
        <v>334</v>
      </c>
      <c r="G50" s="7" t="s">
        <v>335</v>
      </c>
      <c r="H50" s="7" t="s">
        <v>336</v>
      </c>
      <c r="I50" s="8" t="s">
        <v>39</v>
      </c>
      <c r="J50" s="8" t="s">
        <v>40</v>
      </c>
      <c r="K50" s="8" t="s">
        <v>40</v>
      </c>
      <c r="L50" s="7" t="s">
        <v>41</v>
      </c>
      <c r="M50" s="7" t="s">
        <v>41</v>
      </c>
      <c r="N50" s="7" t="s">
        <v>41</v>
      </c>
    </row>
    <row r="51" ht="36" customHeight="1" spans="1:14" x14ac:dyDescent="0.25">
      <c r="A51" s="9" t="s">
        <v>337</v>
      </c>
      <c r="B51" s="9" t="s">
        <v>269</v>
      </c>
      <c r="C51" s="9" t="s">
        <v>338</v>
      </c>
      <c r="D51" s="9" t="s">
        <v>34</v>
      </c>
      <c r="E51" s="9" t="s">
        <v>254</v>
      </c>
      <c r="F51" s="9" t="s">
        <v>339</v>
      </c>
      <c r="G51" s="9" t="s">
        <v>340</v>
      </c>
      <c r="H51" s="9" t="s">
        <v>341</v>
      </c>
      <c r="I51" s="8" t="s">
        <v>39</v>
      </c>
      <c r="J51" s="8" t="s">
        <v>40</v>
      </c>
      <c r="K51" s="8" t="s">
        <v>40</v>
      </c>
      <c r="L51" s="7" t="s">
        <v>41</v>
      </c>
      <c r="M51" s="7" t="s">
        <v>41</v>
      </c>
      <c r="N51" s="7" t="s">
        <v>41</v>
      </c>
    </row>
    <row r="52" ht="36" customHeight="1" spans="1:14" x14ac:dyDescent="0.25">
      <c r="A52" s="7" t="s">
        <v>342</v>
      </c>
      <c r="B52" s="7" t="s">
        <v>269</v>
      </c>
      <c r="C52" s="7" t="s">
        <v>343</v>
      </c>
      <c r="D52" s="7" t="s">
        <v>307</v>
      </c>
      <c r="E52" s="7" t="s">
        <v>344</v>
      </c>
      <c r="F52" s="7" t="s">
        <v>345</v>
      </c>
      <c r="G52" s="7" t="s">
        <v>346</v>
      </c>
      <c r="H52" s="7" t="s">
        <v>347</v>
      </c>
      <c r="I52" s="8" t="s">
        <v>39</v>
      </c>
      <c r="J52" s="8" t="s">
        <v>40</v>
      </c>
      <c r="K52" s="8" t="s">
        <v>40</v>
      </c>
      <c r="L52" s="7" t="s">
        <v>41</v>
      </c>
      <c r="M52" s="7" t="s">
        <v>41</v>
      </c>
      <c r="N52" s="7" t="s">
        <v>41</v>
      </c>
    </row>
    <row r="53" ht="36" customHeight="1" spans="1:14" x14ac:dyDescent="0.25">
      <c r="A53" s="9" t="s">
        <v>348</v>
      </c>
      <c r="B53" s="9" t="s">
        <v>269</v>
      </c>
      <c r="C53" s="9" t="s">
        <v>349</v>
      </c>
      <c r="D53" s="9" t="s">
        <v>260</v>
      </c>
      <c r="E53" s="9" t="s">
        <v>261</v>
      </c>
      <c r="F53" s="9" t="s">
        <v>339</v>
      </c>
      <c r="G53" s="9" t="s">
        <v>350</v>
      </c>
      <c r="H53" s="9" t="s">
        <v>351</v>
      </c>
      <c r="I53" s="8" t="s">
        <v>39</v>
      </c>
      <c r="J53" s="8" t="s">
        <v>40</v>
      </c>
      <c r="K53" s="8" t="s">
        <v>40</v>
      </c>
      <c r="L53" s="7" t="s">
        <v>41</v>
      </c>
      <c r="M53" s="7" t="s">
        <v>41</v>
      </c>
      <c r="N53" s="7" t="s">
        <v>41</v>
      </c>
    </row>
    <row r="54" ht="36" customHeight="1" spans="1:14" x14ac:dyDescent="0.25">
      <c r="A54" s="7" t="s">
        <v>352</v>
      </c>
      <c r="B54" s="7" t="s">
        <v>269</v>
      </c>
      <c r="C54" s="7" t="s">
        <v>353</v>
      </c>
      <c r="D54" s="7" t="s">
        <v>354</v>
      </c>
      <c r="E54" s="7" t="s">
        <v>355</v>
      </c>
      <c r="F54" s="7" t="s">
        <v>356</v>
      </c>
      <c r="G54" s="7" t="s">
        <v>357</v>
      </c>
      <c r="H54" s="7" t="s">
        <v>358</v>
      </c>
      <c r="I54" s="8" t="s">
        <v>39</v>
      </c>
      <c r="J54" s="8" t="s">
        <v>40</v>
      </c>
      <c r="K54" s="8" t="s">
        <v>40</v>
      </c>
      <c r="L54" s="7" t="s">
        <v>41</v>
      </c>
      <c r="M54" s="7" t="s">
        <v>41</v>
      </c>
      <c r="N54" s="7" t="s">
        <v>41</v>
      </c>
    </row>
    <row r="55" ht="36" customHeight="1" spans="1:14" x14ac:dyDescent="0.25">
      <c r="A55" s="9" t="s">
        <v>359</v>
      </c>
      <c r="B55" s="9" t="s">
        <v>360</v>
      </c>
      <c r="C55" s="9" t="s">
        <v>361</v>
      </c>
      <c r="D55" s="9" t="s">
        <v>34</v>
      </c>
      <c r="E55" s="9" t="s">
        <v>362</v>
      </c>
      <c r="F55" s="9" t="s">
        <v>363</v>
      </c>
      <c r="G55" s="9" t="s">
        <v>364</v>
      </c>
      <c r="H55" s="9" t="s">
        <v>365</v>
      </c>
      <c r="I55" s="8" t="s">
        <v>39</v>
      </c>
      <c r="J55" s="8" t="s">
        <v>40</v>
      </c>
      <c r="K55" s="8" t="s">
        <v>40</v>
      </c>
      <c r="L55" s="7" t="s">
        <v>41</v>
      </c>
      <c r="M55" s="7" t="s">
        <v>41</v>
      </c>
      <c r="N55" s="7" t="s">
        <v>41</v>
      </c>
    </row>
    <row r="56" ht="36" customHeight="1" spans="1:14" x14ac:dyDescent="0.25">
      <c r="A56" s="7" t="s">
        <v>366</v>
      </c>
      <c r="B56" s="7" t="s">
        <v>360</v>
      </c>
      <c r="C56" s="7" t="s">
        <v>367</v>
      </c>
      <c r="D56" s="7" t="s">
        <v>34</v>
      </c>
      <c r="E56" s="7" t="s">
        <v>368</v>
      </c>
      <c r="F56" s="7" t="s">
        <v>369</v>
      </c>
      <c r="G56" s="7" t="s">
        <v>370</v>
      </c>
      <c r="H56" s="7" t="s">
        <v>371</v>
      </c>
      <c r="I56" s="8" t="s">
        <v>39</v>
      </c>
      <c r="J56" s="8" t="s">
        <v>40</v>
      </c>
      <c r="K56" s="8" t="s">
        <v>40</v>
      </c>
      <c r="L56" s="7" t="s">
        <v>41</v>
      </c>
      <c r="M56" s="7" t="s">
        <v>41</v>
      </c>
      <c r="N56" s="7" t="s">
        <v>41</v>
      </c>
    </row>
    <row r="57" ht="36" customHeight="1" spans="1:14" x14ac:dyDescent="0.25">
      <c r="A57" s="9" t="s">
        <v>372</v>
      </c>
      <c r="B57" s="9" t="s">
        <v>360</v>
      </c>
      <c r="C57" s="9" t="s">
        <v>373</v>
      </c>
      <c r="D57" s="9" t="s">
        <v>374</v>
      </c>
      <c r="E57" s="9" t="s">
        <v>375</v>
      </c>
      <c r="F57" s="9" t="s">
        <v>376</v>
      </c>
      <c r="G57" s="9" t="s">
        <v>377</v>
      </c>
      <c r="H57" s="9" t="s">
        <v>378</v>
      </c>
      <c r="I57" s="8" t="s">
        <v>39</v>
      </c>
      <c r="J57" s="8" t="s">
        <v>40</v>
      </c>
      <c r="K57" s="8" t="s">
        <v>40</v>
      </c>
      <c r="L57" s="7" t="s">
        <v>41</v>
      </c>
      <c r="M57" s="7" t="s">
        <v>41</v>
      </c>
      <c r="N57" s="7" t="s">
        <v>41</v>
      </c>
    </row>
    <row r="58" ht="36" customHeight="1" spans="1:14" x14ac:dyDescent="0.25">
      <c r="A58" s="7" t="s">
        <v>379</v>
      </c>
      <c r="B58" s="7" t="s">
        <v>360</v>
      </c>
      <c r="C58" s="7" t="s">
        <v>380</v>
      </c>
      <c r="D58" s="7" t="s">
        <v>34</v>
      </c>
      <c r="E58" s="7" t="s">
        <v>368</v>
      </c>
      <c r="F58" s="7" t="s">
        <v>381</v>
      </c>
      <c r="G58" s="7" t="s">
        <v>382</v>
      </c>
      <c r="H58" s="7" t="s">
        <v>383</v>
      </c>
      <c r="I58" s="8" t="s">
        <v>39</v>
      </c>
      <c r="J58" s="8" t="s">
        <v>40</v>
      </c>
      <c r="K58" s="8" t="s">
        <v>40</v>
      </c>
      <c r="L58" s="7" t="s">
        <v>41</v>
      </c>
      <c r="M58" s="7" t="s">
        <v>41</v>
      </c>
      <c r="N58" s="7" t="s">
        <v>41</v>
      </c>
    </row>
    <row r="59" ht="36" customHeight="1" spans="1:14" x14ac:dyDescent="0.25">
      <c r="A59" s="9" t="s">
        <v>384</v>
      </c>
      <c r="B59" s="9" t="s">
        <v>360</v>
      </c>
      <c r="C59" s="9" t="s">
        <v>385</v>
      </c>
      <c r="D59" s="9" t="s">
        <v>34</v>
      </c>
      <c r="E59" s="9" t="s">
        <v>368</v>
      </c>
      <c r="F59" s="9" t="s">
        <v>386</v>
      </c>
      <c r="G59" s="9" t="s">
        <v>387</v>
      </c>
      <c r="H59" s="9" t="s">
        <v>388</v>
      </c>
      <c r="I59" s="8" t="s">
        <v>39</v>
      </c>
      <c r="J59" s="8" t="s">
        <v>40</v>
      </c>
      <c r="K59" s="8" t="s">
        <v>40</v>
      </c>
      <c r="L59" s="7" t="s">
        <v>41</v>
      </c>
      <c r="M59" s="7" t="s">
        <v>41</v>
      </c>
      <c r="N59" s="7" t="s">
        <v>41</v>
      </c>
    </row>
    <row r="60" ht="36" customHeight="1" spans="1:14" x14ac:dyDescent="0.25">
      <c r="A60" s="7" t="s">
        <v>389</v>
      </c>
      <c r="B60" s="7" t="s">
        <v>360</v>
      </c>
      <c r="C60" s="7" t="s">
        <v>390</v>
      </c>
      <c r="D60" s="7" t="s">
        <v>34</v>
      </c>
      <c r="E60" s="7" t="s">
        <v>368</v>
      </c>
      <c r="F60" s="7" t="s">
        <v>391</v>
      </c>
      <c r="G60" s="7" t="s">
        <v>392</v>
      </c>
      <c r="H60" s="7" t="s">
        <v>388</v>
      </c>
      <c r="I60" s="8" t="s">
        <v>39</v>
      </c>
      <c r="J60" s="8" t="s">
        <v>40</v>
      </c>
      <c r="K60" s="8" t="s">
        <v>40</v>
      </c>
      <c r="L60" s="7" t="s">
        <v>41</v>
      </c>
      <c r="M60" s="7" t="s">
        <v>41</v>
      </c>
      <c r="N60" s="7" t="s">
        <v>41</v>
      </c>
    </row>
    <row r="61" ht="36" customHeight="1" spans="1:14" x14ac:dyDescent="0.25">
      <c r="A61" s="9" t="s">
        <v>393</v>
      </c>
      <c r="B61" s="9" t="s">
        <v>360</v>
      </c>
      <c r="C61" s="9" t="s">
        <v>394</v>
      </c>
      <c r="D61" s="9" t="s">
        <v>34</v>
      </c>
      <c r="E61" s="9" t="s">
        <v>368</v>
      </c>
      <c r="F61" s="9" t="s">
        <v>395</v>
      </c>
      <c r="G61" s="9" t="s">
        <v>396</v>
      </c>
      <c r="H61" s="9" t="s">
        <v>388</v>
      </c>
      <c r="I61" s="8" t="s">
        <v>39</v>
      </c>
      <c r="J61" s="8" t="s">
        <v>40</v>
      </c>
      <c r="K61" s="8" t="s">
        <v>40</v>
      </c>
      <c r="L61" s="7" t="s">
        <v>41</v>
      </c>
      <c r="M61" s="7" t="s">
        <v>41</v>
      </c>
      <c r="N61" s="7" t="s">
        <v>41</v>
      </c>
    </row>
    <row r="62" ht="36" customHeight="1" spans="1:14" x14ac:dyDescent="0.25">
      <c r="A62" s="7" t="s">
        <v>397</v>
      </c>
      <c r="B62" s="7" t="s">
        <v>360</v>
      </c>
      <c r="C62" s="7" t="s">
        <v>398</v>
      </c>
      <c r="D62" s="7" t="s">
        <v>34</v>
      </c>
      <c r="E62" s="7" t="s">
        <v>399</v>
      </c>
      <c r="F62" s="7" t="s">
        <v>400</v>
      </c>
      <c r="G62" s="7" t="s">
        <v>401</v>
      </c>
      <c r="H62" s="7" t="s">
        <v>402</v>
      </c>
      <c r="I62" s="8" t="s">
        <v>39</v>
      </c>
      <c r="J62" s="8" t="s">
        <v>40</v>
      </c>
      <c r="K62" s="8" t="s">
        <v>40</v>
      </c>
      <c r="L62" s="7" t="s">
        <v>41</v>
      </c>
      <c r="M62" s="7" t="s">
        <v>41</v>
      </c>
      <c r="N62" s="7" t="s">
        <v>41</v>
      </c>
    </row>
    <row r="63" ht="36" customHeight="1" spans="1:14" x14ac:dyDescent="0.25">
      <c r="A63" s="9" t="s">
        <v>403</v>
      </c>
      <c r="B63" s="9" t="s">
        <v>360</v>
      </c>
      <c r="C63" s="9" t="s">
        <v>404</v>
      </c>
      <c r="D63" s="9" t="s">
        <v>374</v>
      </c>
      <c r="E63" s="9" t="s">
        <v>405</v>
      </c>
      <c r="F63" s="9" t="s">
        <v>406</v>
      </c>
      <c r="G63" s="9" t="s">
        <v>407</v>
      </c>
      <c r="H63" s="9" t="s">
        <v>408</v>
      </c>
      <c r="I63" s="8" t="s">
        <v>39</v>
      </c>
      <c r="J63" s="8" t="s">
        <v>40</v>
      </c>
      <c r="K63" s="8" t="s">
        <v>40</v>
      </c>
      <c r="L63" s="7" t="s">
        <v>41</v>
      </c>
      <c r="M63" s="7" t="s">
        <v>41</v>
      </c>
      <c r="N63" s="7" t="s">
        <v>41</v>
      </c>
    </row>
    <row r="64" ht="36" customHeight="1" spans="1:14" x14ac:dyDescent="0.25">
      <c r="A64" s="7" t="s">
        <v>409</v>
      </c>
      <c r="B64" s="7" t="s">
        <v>360</v>
      </c>
      <c r="C64" s="7" t="s">
        <v>410</v>
      </c>
      <c r="D64" s="7" t="s">
        <v>34</v>
      </c>
      <c r="E64" s="7" t="s">
        <v>411</v>
      </c>
      <c r="F64" s="7" t="s">
        <v>412</v>
      </c>
      <c r="G64" s="7" t="s">
        <v>413</v>
      </c>
      <c r="H64" s="7" t="s">
        <v>414</v>
      </c>
      <c r="I64" s="8" t="s">
        <v>39</v>
      </c>
      <c r="J64" s="8" t="s">
        <v>40</v>
      </c>
      <c r="K64" s="8" t="s">
        <v>40</v>
      </c>
      <c r="L64" s="7" t="s">
        <v>41</v>
      </c>
      <c r="M64" s="7" t="s">
        <v>41</v>
      </c>
      <c r="N64" s="7" t="s">
        <v>41</v>
      </c>
    </row>
    <row r="65" ht="36" customHeight="1" spans="1:14" x14ac:dyDescent="0.25">
      <c r="A65" s="9" t="s">
        <v>415</v>
      </c>
      <c r="B65" s="9" t="s">
        <v>360</v>
      </c>
      <c r="C65" s="9" t="s">
        <v>416</v>
      </c>
      <c r="D65" s="9" t="s">
        <v>34</v>
      </c>
      <c r="E65" s="9" t="s">
        <v>417</v>
      </c>
      <c r="F65" s="9" t="s">
        <v>418</v>
      </c>
      <c r="G65" s="9" t="s">
        <v>419</v>
      </c>
      <c r="H65" s="9" t="s">
        <v>420</v>
      </c>
      <c r="I65" s="8" t="s">
        <v>39</v>
      </c>
      <c r="J65" s="8" t="s">
        <v>40</v>
      </c>
      <c r="K65" s="8" t="s">
        <v>40</v>
      </c>
      <c r="L65" s="7" t="s">
        <v>41</v>
      </c>
      <c r="M65" s="7" t="s">
        <v>41</v>
      </c>
      <c r="N65" s="7" t="s">
        <v>41</v>
      </c>
    </row>
    <row r="66" ht="36" customHeight="1" spans="1:14" x14ac:dyDescent="0.25">
      <c r="A66" s="7" t="s">
        <v>421</v>
      </c>
      <c r="B66" s="7" t="s">
        <v>360</v>
      </c>
      <c r="C66" s="7" t="s">
        <v>422</v>
      </c>
      <c r="D66" s="7" t="s">
        <v>34</v>
      </c>
      <c r="E66" s="7" t="s">
        <v>423</v>
      </c>
      <c r="F66" s="7" t="s">
        <v>424</v>
      </c>
      <c r="G66" s="7" t="s">
        <v>425</v>
      </c>
      <c r="H66" s="7" t="s">
        <v>426</v>
      </c>
      <c r="I66" s="8" t="s">
        <v>39</v>
      </c>
      <c r="J66" s="8" t="s">
        <v>40</v>
      </c>
      <c r="K66" s="8" t="s">
        <v>40</v>
      </c>
      <c r="L66" s="7" t="s">
        <v>41</v>
      </c>
      <c r="M66" s="7" t="s">
        <v>41</v>
      </c>
      <c r="N66" s="7" t="s">
        <v>41</v>
      </c>
    </row>
    <row r="67" ht="36" customHeight="1" spans="1:14" x14ac:dyDescent="0.25">
      <c r="A67" s="9" t="s">
        <v>427</v>
      </c>
      <c r="B67" s="9" t="s">
        <v>360</v>
      </c>
      <c r="C67" s="9" t="s">
        <v>428</v>
      </c>
      <c r="D67" s="9" t="s">
        <v>34</v>
      </c>
      <c r="E67" s="9" t="s">
        <v>429</v>
      </c>
      <c r="F67" s="9" t="s">
        <v>430</v>
      </c>
      <c r="G67" s="9" t="s">
        <v>431</v>
      </c>
      <c r="H67" s="9" t="s">
        <v>432</v>
      </c>
      <c r="I67" s="8" t="s">
        <v>39</v>
      </c>
      <c r="J67" s="8" t="s">
        <v>40</v>
      </c>
      <c r="K67" s="8" t="s">
        <v>40</v>
      </c>
      <c r="L67" s="7" t="s">
        <v>41</v>
      </c>
      <c r="M67" s="7" t="s">
        <v>41</v>
      </c>
      <c r="N67" s="7" t="s">
        <v>41</v>
      </c>
    </row>
    <row r="68" ht="36" customHeight="1" spans="1:14" x14ac:dyDescent="0.25">
      <c r="A68" s="7" t="s">
        <v>433</v>
      </c>
      <c r="B68" s="7" t="s">
        <v>360</v>
      </c>
      <c r="C68" s="7" t="s">
        <v>434</v>
      </c>
      <c r="D68" s="7" t="s">
        <v>354</v>
      </c>
      <c r="E68" s="7" t="s">
        <v>435</v>
      </c>
      <c r="F68" s="7" t="s">
        <v>436</v>
      </c>
      <c r="G68" s="7" t="s">
        <v>437</v>
      </c>
      <c r="H68" s="7" t="s">
        <v>438</v>
      </c>
      <c r="I68" s="8" t="s">
        <v>39</v>
      </c>
      <c r="J68" s="8" t="s">
        <v>40</v>
      </c>
      <c r="K68" s="8" t="s">
        <v>40</v>
      </c>
      <c r="L68" s="7" t="s">
        <v>41</v>
      </c>
      <c r="M68" s="7" t="s">
        <v>41</v>
      </c>
      <c r="N68" s="7" t="s">
        <v>41</v>
      </c>
    </row>
    <row r="69" ht="36" customHeight="1" spans="1:14" x14ac:dyDescent="0.25">
      <c r="A69" s="9" t="s">
        <v>439</v>
      </c>
      <c r="B69" s="9" t="s">
        <v>360</v>
      </c>
      <c r="C69" s="9" t="s">
        <v>440</v>
      </c>
      <c r="D69" s="9" t="s">
        <v>51</v>
      </c>
      <c r="E69" s="9" t="s">
        <v>441</v>
      </c>
      <c r="F69" s="9" t="s">
        <v>442</v>
      </c>
      <c r="G69" s="9" t="s">
        <v>443</v>
      </c>
      <c r="H69" s="9" t="s">
        <v>444</v>
      </c>
      <c r="I69" s="8" t="s">
        <v>39</v>
      </c>
      <c r="J69" s="8" t="s">
        <v>40</v>
      </c>
      <c r="K69" s="8" t="s">
        <v>40</v>
      </c>
      <c r="L69" s="7" t="s">
        <v>41</v>
      </c>
      <c r="M69" s="7" t="s">
        <v>41</v>
      </c>
      <c r="N69" s="7" t="s">
        <v>41</v>
      </c>
    </row>
    <row r="70" ht="36" customHeight="1" spans="1:14" x14ac:dyDescent="0.25">
      <c r="A70" s="7" t="s">
        <v>445</v>
      </c>
      <c r="B70" s="7" t="s">
        <v>446</v>
      </c>
      <c r="C70" s="7" t="s">
        <v>447</v>
      </c>
      <c r="D70" s="7" t="s">
        <v>448</v>
      </c>
      <c r="E70" s="7" t="s">
        <v>449</v>
      </c>
      <c r="F70" s="7" t="s">
        <v>450</v>
      </c>
      <c r="G70" s="7" t="s">
        <v>451</v>
      </c>
      <c r="H70" s="7" t="s">
        <v>452</v>
      </c>
      <c r="I70" s="8" t="s">
        <v>39</v>
      </c>
      <c r="J70" s="8" t="s">
        <v>40</v>
      </c>
      <c r="K70" s="8" t="s">
        <v>40</v>
      </c>
      <c r="L70" s="7" t="s">
        <v>41</v>
      </c>
      <c r="M70" s="7" t="s">
        <v>41</v>
      </c>
      <c r="N70" s="7" t="s">
        <v>41</v>
      </c>
    </row>
    <row r="71" ht="36" customHeight="1" spans="1:14" x14ac:dyDescent="0.25">
      <c r="A71" s="9" t="s">
        <v>453</v>
      </c>
      <c r="B71" s="9" t="s">
        <v>446</v>
      </c>
      <c r="C71" s="9" t="s">
        <v>454</v>
      </c>
      <c r="D71" s="9" t="s">
        <v>455</v>
      </c>
      <c r="E71" s="9" t="s">
        <v>456</v>
      </c>
      <c r="F71" s="9" t="s">
        <v>457</v>
      </c>
      <c r="G71" s="9" t="s">
        <v>458</v>
      </c>
      <c r="H71" s="9" t="s">
        <v>459</v>
      </c>
      <c r="I71" s="8" t="s">
        <v>39</v>
      </c>
      <c r="J71" s="8" t="s">
        <v>40</v>
      </c>
      <c r="K71" s="8" t="s">
        <v>40</v>
      </c>
      <c r="L71" s="7" t="s">
        <v>41</v>
      </c>
      <c r="M71" s="7" t="s">
        <v>41</v>
      </c>
      <c r="N71" s="7" t="s">
        <v>41</v>
      </c>
    </row>
    <row r="72" ht="36" customHeight="1" spans="1:14" x14ac:dyDescent="0.25">
      <c r="A72" s="7" t="s">
        <v>460</v>
      </c>
      <c r="B72" s="7" t="s">
        <v>446</v>
      </c>
      <c r="C72" s="7" t="s">
        <v>461</v>
      </c>
      <c r="D72" s="7" t="s">
        <v>462</v>
      </c>
      <c r="E72" s="7" t="s">
        <v>463</v>
      </c>
      <c r="F72" s="7" t="s">
        <v>464</v>
      </c>
      <c r="G72" s="7" t="s">
        <v>465</v>
      </c>
      <c r="H72" s="7" t="s">
        <v>466</v>
      </c>
      <c r="I72" s="8" t="s">
        <v>39</v>
      </c>
      <c r="J72" s="8" t="s">
        <v>40</v>
      </c>
      <c r="K72" s="8" t="s">
        <v>40</v>
      </c>
      <c r="L72" s="7" t="s">
        <v>41</v>
      </c>
      <c r="M72" s="7" t="s">
        <v>41</v>
      </c>
      <c r="N72" s="7" t="s">
        <v>41</v>
      </c>
    </row>
    <row r="73" ht="36" customHeight="1" spans="1:14" x14ac:dyDescent="0.25">
      <c r="A73" s="9" t="s">
        <v>467</v>
      </c>
      <c r="B73" s="9" t="s">
        <v>446</v>
      </c>
      <c r="C73" s="9" t="s">
        <v>468</v>
      </c>
      <c r="D73" s="9" t="s">
        <v>469</v>
      </c>
      <c r="E73" s="9" t="s">
        <v>470</v>
      </c>
      <c r="F73" s="9" t="s">
        <v>457</v>
      </c>
      <c r="G73" s="9" t="s">
        <v>127</v>
      </c>
      <c r="H73" s="9" t="s">
        <v>471</v>
      </c>
      <c r="I73" s="8" t="s">
        <v>39</v>
      </c>
      <c r="J73" s="8" t="s">
        <v>40</v>
      </c>
      <c r="K73" s="8" t="s">
        <v>40</v>
      </c>
      <c r="L73" s="7" t="s">
        <v>41</v>
      </c>
      <c r="M73" s="7" t="s">
        <v>41</v>
      </c>
      <c r="N73" s="7" t="s">
        <v>41</v>
      </c>
    </row>
    <row r="74" ht="36" customHeight="1" spans="1:14" x14ac:dyDescent="0.25">
      <c r="A74" s="7" t="s">
        <v>472</v>
      </c>
      <c r="B74" s="7" t="s">
        <v>446</v>
      </c>
      <c r="C74" s="7" t="s">
        <v>473</v>
      </c>
      <c r="D74" s="7" t="s">
        <v>474</v>
      </c>
      <c r="E74" s="7" t="s">
        <v>475</v>
      </c>
      <c r="F74" s="7" t="s">
        <v>476</v>
      </c>
      <c r="G74" s="7" t="s">
        <v>477</v>
      </c>
      <c r="H74" s="7" t="s">
        <v>478</v>
      </c>
      <c r="I74" s="8" t="s">
        <v>39</v>
      </c>
      <c r="J74" s="8" t="s">
        <v>40</v>
      </c>
      <c r="K74" s="8" t="s">
        <v>40</v>
      </c>
      <c r="L74" s="7" t="s">
        <v>41</v>
      </c>
      <c r="M74" s="7" t="s">
        <v>41</v>
      </c>
      <c r="N74" s="7" t="s">
        <v>41</v>
      </c>
    </row>
    <row r="75" ht="36" customHeight="1" spans="1:14" x14ac:dyDescent="0.25">
      <c r="A75" s="9" t="s">
        <v>479</v>
      </c>
      <c r="B75" s="9" t="s">
        <v>446</v>
      </c>
      <c r="C75" s="9" t="s">
        <v>480</v>
      </c>
      <c r="D75" s="9" t="s">
        <v>51</v>
      </c>
      <c r="E75" s="9" t="s">
        <v>481</v>
      </c>
      <c r="F75" s="9" t="s">
        <v>482</v>
      </c>
      <c r="G75" s="9" t="s">
        <v>127</v>
      </c>
      <c r="H75" s="9" t="s">
        <v>483</v>
      </c>
      <c r="I75" s="8" t="s">
        <v>39</v>
      </c>
      <c r="J75" s="8" t="s">
        <v>40</v>
      </c>
      <c r="K75" s="8" t="s">
        <v>40</v>
      </c>
      <c r="L75" s="7" t="s">
        <v>41</v>
      </c>
      <c r="M75" s="7" t="s">
        <v>41</v>
      </c>
      <c r="N75" s="7" t="s">
        <v>41</v>
      </c>
    </row>
    <row r="76" ht="36" customHeight="1" spans="1:14" x14ac:dyDescent="0.25">
      <c r="A76" s="7" t="s">
        <v>484</v>
      </c>
      <c r="B76" s="7" t="s">
        <v>446</v>
      </c>
      <c r="C76" s="7" t="s">
        <v>485</v>
      </c>
      <c r="D76" s="7" t="s">
        <v>474</v>
      </c>
      <c r="E76" s="7" t="s">
        <v>119</v>
      </c>
      <c r="F76" s="7" t="s">
        <v>486</v>
      </c>
      <c r="G76" s="7" t="s">
        <v>487</v>
      </c>
      <c r="H76" s="7" t="s">
        <v>79</v>
      </c>
      <c r="I76" s="8" t="s">
        <v>39</v>
      </c>
      <c r="J76" s="8" t="s">
        <v>40</v>
      </c>
      <c r="K76" s="8" t="s">
        <v>40</v>
      </c>
      <c r="L76" s="7" t="s">
        <v>41</v>
      </c>
      <c r="M76" s="7" t="s">
        <v>41</v>
      </c>
      <c r="N76" s="7" t="s">
        <v>41</v>
      </c>
    </row>
    <row r="77" ht="36" customHeight="1" spans="1:14" x14ac:dyDescent="0.25">
      <c r="A77" s="9" t="s">
        <v>488</v>
      </c>
      <c r="B77" s="9" t="s">
        <v>446</v>
      </c>
      <c r="C77" s="9" t="s">
        <v>489</v>
      </c>
      <c r="D77" s="9" t="s">
        <v>490</v>
      </c>
      <c r="E77" s="9" t="s">
        <v>261</v>
      </c>
      <c r="F77" s="9" t="s">
        <v>491</v>
      </c>
      <c r="G77" s="9" t="s">
        <v>492</v>
      </c>
      <c r="H77" s="9" t="s">
        <v>254</v>
      </c>
      <c r="I77" s="8" t="s">
        <v>39</v>
      </c>
      <c r="J77" s="8" t="s">
        <v>40</v>
      </c>
      <c r="K77" s="8" t="s">
        <v>40</v>
      </c>
      <c r="L77" s="7" t="s">
        <v>41</v>
      </c>
      <c r="M77" s="7" t="s">
        <v>41</v>
      </c>
      <c r="N77" s="7" t="s">
        <v>41</v>
      </c>
    </row>
    <row r="78" ht="36" customHeight="1" spans="1:14" x14ac:dyDescent="0.25">
      <c r="A78" s="7" t="s">
        <v>493</v>
      </c>
      <c r="B78" s="7" t="s">
        <v>446</v>
      </c>
      <c r="C78" s="7" t="s">
        <v>494</v>
      </c>
      <c r="D78" s="7" t="s">
        <v>51</v>
      </c>
      <c r="E78" s="7" t="s">
        <v>495</v>
      </c>
      <c r="F78" s="7" t="s">
        <v>126</v>
      </c>
      <c r="G78" s="7" t="s">
        <v>127</v>
      </c>
      <c r="H78" s="7" t="s">
        <v>496</v>
      </c>
      <c r="I78" s="8" t="s">
        <v>39</v>
      </c>
      <c r="J78" s="8" t="s">
        <v>40</v>
      </c>
      <c r="K78" s="8" t="s">
        <v>40</v>
      </c>
      <c r="L78" s="7" t="s">
        <v>41</v>
      </c>
      <c r="M78" s="7" t="s">
        <v>41</v>
      </c>
      <c r="N78" s="7" t="s">
        <v>41</v>
      </c>
    </row>
    <row r="79" ht="36" customHeight="1" spans="1:14" x14ac:dyDescent="0.25">
      <c r="A79" s="9" t="s">
        <v>497</v>
      </c>
      <c r="B79" s="9" t="s">
        <v>446</v>
      </c>
      <c r="C79" s="9" t="s">
        <v>498</v>
      </c>
      <c r="D79" s="9" t="s">
        <v>51</v>
      </c>
      <c r="E79" s="9" t="s">
        <v>499</v>
      </c>
      <c r="F79" s="9" t="s">
        <v>500</v>
      </c>
      <c r="G79" s="9" t="s">
        <v>501</v>
      </c>
      <c r="H79" s="9" t="s">
        <v>55</v>
      </c>
      <c r="I79" s="8" t="s">
        <v>39</v>
      </c>
      <c r="J79" s="8" t="s">
        <v>40</v>
      </c>
      <c r="K79" s="8" t="s">
        <v>40</v>
      </c>
      <c r="L79" s="7" t="s">
        <v>41</v>
      </c>
      <c r="M79" s="7" t="s">
        <v>41</v>
      </c>
      <c r="N79" s="7" t="s">
        <v>41</v>
      </c>
    </row>
    <row r="80" ht="36" customHeight="1" spans="1:14" x14ac:dyDescent="0.25">
      <c r="A80" s="7" t="s">
        <v>502</v>
      </c>
      <c r="B80" s="7" t="s">
        <v>446</v>
      </c>
      <c r="C80" s="7" t="s">
        <v>503</v>
      </c>
      <c r="D80" s="7" t="s">
        <v>504</v>
      </c>
      <c r="E80" s="7" t="s">
        <v>505</v>
      </c>
      <c r="F80" s="7" t="s">
        <v>506</v>
      </c>
      <c r="G80" s="7" t="s">
        <v>507</v>
      </c>
      <c r="H80" s="7" t="s">
        <v>508</v>
      </c>
      <c r="I80" s="8" t="s">
        <v>39</v>
      </c>
      <c r="J80" s="8" t="s">
        <v>40</v>
      </c>
      <c r="K80" s="8" t="s">
        <v>40</v>
      </c>
      <c r="L80" s="7" t="s">
        <v>41</v>
      </c>
      <c r="M80" s="7" t="s">
        <v>41</v>
      </c>
      <c r="N80" s="7" t="s">
        <v>41</v>
      </c>
    </row>
    <row r="81" ht="36" customHeight="1" spans="1:14" x14ac:dyDescent="0.25">
      <c r="A81" s="9" t="s">
        <v>509</v>
      </c>
      <c r="B81" s="9" t="s">
        <v>446</v>
      </c>
      <c r="C81" s="9" t="s">
        <v>510</v>
      </c>
      <c r="D81" s="9" t="s">
        <v>374</v>
      </c>
      <c r="E81" s="9" t="s">
        <v>511</v>
      </c>
      <c r="F81" s="9" t="s">
        <v>500</v>
      </c>
      <c r="G81" s="9" t="s">
        <v>512</v>
      </c>
      <c r="H81" s="9" t="s">
        <v>513</v>
      </c>
      <c r="I81" s="8" t="s">
        <v>39</v>
      </c>
      <c r="J81" s="8" t="s">
        <v>40</v>
      </c>
      <c r="K81" s="8" t="s">
        <v>40</v>
      </c>
      <c r="L81" s="7" t="s">
        <v>41</v>
      </c>
      <c r="M81" s="7" t="s">
        <v>41</v>
      </c>
      <c r="N81" s="7" t="s">
        <v>41</v>
      </c>
    </row>
    <row r="82" ht="36" customHeight="1" spans="1:14" x14ac:dyDescent="0.25">
      <c r="A82" s="7" t="s">
        <v>514</v>
      </c>
      <c r="B82" s="7" t="s">
        <v>446</v>
      </c>
      <c r="C82" s="7" t="s">
        <v>515</v>
      </c>
      <c r="D82" s="7" t="s">
        <v>51</v>
      </c>
      <c r="E82" s="7" t="s">
        <v>516</v>
      </c>
      <c r="F82" s="7" t="s">
        <v>442</v>
      </c>
      <c r="G82" s="7" t="s">
        <v>517</v>
      </c>
      <c r="H82" s="7" t="s">
        <v>518</v>
      </c>
      <c r="I82" s="8" t="s">
        <v>39</v>
      </c>
      <c r="J82" s="8" t="s">
        <v>40</v>
      </c>
      <c r="K82" s="8" t="s">
        <v>40</v>
      </c>
      <c r="L82" s="7" t="s">
        <v>41</v>
      </c>
      <c r="M82" s="7" t="s">
        <v>41</v>
      </c>
      <c r="N82" s="7" t="s">
        <v>41</v>
      </c>
    </row>
    <row r="83" ht="36" customHeight="1" spans="1:14" x14ac:dyDescent="0.25">
      <c r="A83" s="9" t="s">
        <v>519</v>
      </c>
      <c r="B83" s="9" t="s">
        <v>446</v>
      </c>
      <c r="C83" s="9" t="s">
        <v>520</v>
      </c>
      <c r="D83" s="9" t="s">
        <v>469</v>
      </c>
      <c r="E83" s="9" t="s">
        <v>521</v>
      </c>
      <c r="F83" s="9" t="s">
        <v>522</v>
      </c>
      <c r="G83" s="9" t="s">
        <v>523</v>
      </c>
      <c r="H83" s="9" t="s">
        <v>524</v>
      </c>
      <c r="I83" s="8" t="s">
        <v>39</v>
      </c>
      <c r="J83" s="8" t="s">
        <v>40</v>
      </c>
      <c r="K83" s="8" t="s">
        <v>40</v>
      </c>
      <c r="L83" s="7" t="s">
        <v>41</v>
      </c>
      <c r="M83" s="7" t="s">
        <v>41</v>
      </c>
      <c r="N83" s="7" t="s">
        <v>41</v>
      </c>
    </row>
    <row r="84" ht="36" customHeight="1" spans="1:14" x14ac:dyDescent="0.25">
      <c r="A84" s="7" t="s">
        <v>525</v>
      </c>
      <c r="B84" s="7" t="s">
        <v>446</v>
      </c>
      <c r="C84" s="7" t="s">
        <v>526</v>
      </c>
      <c r="D84" s="7" t="s">
        <v>51</v>
      </c>
      <c r="E84" s="7" t="s">
        <v>527</v>
      </c>
      <c r="F84" s="7" t="s">
        <v>522</v>
      </c>
      <c r="G84" s="7" t="s">
        <v>127</v>
      </c>
      <c r="H84" s="7" t="s">
        <v>496</v>
      </c>
      <c r="I84" s="8" t="s">
        <v>39</v>
      </c>
      <c r="J84" s="8" t="s">
        <v>40</v>
      </c>
      <c r="K84" s="8" t="s">
        <v>40</v>
      </c>
      <c r="L84" s="7" t="s">
        <v>41</v>
      </c>
      <c r="M84" s="7" t="s">
        <v>41</v>
      </c>
      <c r="N84" s="7" t="s">
        <v>41</v>
      </c>
    </row>
    <row r="85" ht="36" customHeight="1" spans="1:14" x14ac:dyDescent="0.25">
      <c r="A85" s="9" t="s">
        <v>528</v>
      </c>
      <c r="B85" s="9" t="s">
        <v>446</v>
      </c>
      <c r="C85" s="9" t="s">
        <v>529</v>
      </c>
      <c r="D85" s="9" t="s">
        <v>469</v>
      </c>
      <c r="E85" s="9" t="s">
        <v>530</v>
      </c>
      <c r="F85" s="9" t="s">
        <v>531</v>
      </c>
      <c r="G85" s="9" t="s">
        <v>532</v>
      </c>
      <c r="H85" s="9" t="s">
        <v>533</v>
      </c>
      <c r="I85" s="8" t="s">
        <v>39</v>
      </c>
      <c r="J85" s="8" t="s">
        <v>40</v>
      </c>
      <c r="K85" s="8" t="s">
        <v>40</v>
      </c>
      <c r="L85" s="7" t="s">
        <v>41</v>
      </c>
      <c r="M85" s="7" t="s">
        <v>41</v>
      </c>
      <c r="N85" s="7" t="s">
        <v>41</v>
      </c>
    </row>
    <row r="86" ht="36" customHeight="1" spans="1:14" x14ac:dyDescent="0.25">
      <c r="A86" s="7" t="s">
        <v>534</v>
      </c>
      <c r="B86" s="7" t="s">
        <v>446</v>
      </c>
      <c r="C86" s="7" t="s">
        <v>535</v>
      </c>
      <c r="D86" s="7" t="s">
        <v>536</v>
      </c>
      <c r="E86" s="7" t="s">
        <v>537</v>
      </c>
      <c r="F86" s="7" t="s">
        <v>538</v>
      </c>
      <c r="G86" s="7" t="s">
        <v>477</v>
      </c>
      <c r="H86" s="7" t="s">
        <v>539</v>
      </c>
      <c r="I86" s="8" t="s">
        <v>39</v>
      </c>
      <c r="J86" s="8" t="s">
        <v>40</v>
      </c>
      <c r="K86" s="8" t="s">
        <v>40</v>
      </c>
      <c r="L86" s="7" t="s">
        <v>41</v>
      </c>
      <c r="M86" s="7" t="s">
        <v>41</v>
      </c>
      <c r="N86" s="7" t="s">
        <v>41</v>
      </c>
    </row>
    <row r="87" ht="36" customHeight="1" spans="1:14" x14ac:dyDescent="0.25">
      <c r="A87" s="9" t="s">
        <v>540</v>
      </c>
      <c r="B87" s="9" t="s">
        <v>446</v>
      </c>
      <c r="C87" s="9" t="s">
        <v>541</v>
      </c>
      <c r="D87" s="9" t="s">
        <v>536</v>
      </c>
      <c r="E87" s="9" t="s">
        <v>542</v>
      </c>
      <c r="F87" s="9" t="s">
        <v>543</v>
      </c>
      <c r="G87" s="9" t="s">
        <v>350</v>
      </c>
      <c r="H87" s="9" t="s">
        <v>544</v>
      </c>
      <c r="I87" s="8" t="s">
        <v>39</v>
      </c>
      <c r="J87" s="8" t="s">
        <v>40</v>
      </c>
      <c r="K87" s="8" t="s">
        <v>40</v>
      </c>
      <c r="L87" s="7" t="s">
        <v>41</v>
      </c>
      <c r="M87" s="7" t="s">
        <v>41</v>
      </c>
      <c r="N87" s="7" t="s">
        <v>41</v>
      </c>
    </row>
    <row r="88" ht="36" customHeight="1" spans="1:14" x14ac:dyDescent="0.25">
      <c r="A88" s="7" t="s">
        <v>545</v>
      </c>
      <c r="B88" s="7" t="s">
        <v>446</v>
      </c>
      <c r="C88" s="7" t="s">
        <v>546</v>
      </c>
      <c r="D88" s="7" t="s">
        <v>547</v>
      </c>
      <c r="E88" s="7" t="s">
        <v>548</v>
      </c>
      <c r="F88" s="7" t="s">
        <v>549</v>
      </c>
      <c r="G88" s="7" t="s">
        <v>550</v>
      </c>
      <c r="H88" s="7" t="s">
        <v>551</v>
      </c>
      <c r="I88" s="8" t="s">
        <v>39</v>
      </c>
      <c r="J88" s="8" t="s">
        <v>40</v>
      </c>
      <c r="K88" s="8" t="s">
        <v>40</v>
      </c>
      <c r="L88" s="7" t="s">
        <v>41</v>
      </c>
      <c r="M88" s="7" t="s">
        <v>41</v>
      </c>
      <c r="N88" s="7" t="s">
        <v>41</v>
      </c>
    </row>
    <row r="89" ht="36" customHeight="1" spans="1:14" x14ac:dyDescent="0.25">
      <c r="A89" s="9" t="s">
        <v>552</v>
      </c>
      <c r="B89" s="9" t="s">
        <v>446</v>
      </c>
      <c r="C89" s="9" t="s">
        <v>553</v>
      </c>
      <c r="D89" s="9" t="s">
        <v>547</v>
      </c>
      <c r="E89" s="9" t="s">
        <v>554</v>
      </c>
      <c r="F89" s="9" t="s">
        <v>555</v>
      </c>
      <c r="G89" s="9" t="s">
        <v>550</v>
      </c>
      <c r="H89" s="9" t="s">
        <v>556</v>
      </c>
      <c r="I89" s="8" t="s">
        <v>39</v>
      </c>
      <c r="J89" s="8" t="s">
        <v>40</v>
      </c>
      <c r="K89" s="8" t="s">
        <v>40</v>
      </c>
      <c r="L89" s="7" t="s">
        <v>41</v>
      </c>
      <c r="M89" s="7" t="s">
        <v>41</v>
      </c>
      <c r="N89" s="7" t="s">
        <v>41</v>
      </c>
    </row>
    <row r="90" ht="36" customHeight="1" spans="1:14" x14ac:dyDescent="0.25">
      <c r="A90" s="7" t="s">
        <v>557</v>
      </c>
      <c r="B90" s="7" t="s">
        <v>446</v>
      </c>
      <c r="C90" s="7" t="s">
        <v>558</v>
      </c>
      <c r="D90" s="7" t="s">
        <v>559</v>
      </c>
      <c r="E90" s="7" t="s">
        <v>560</v>
      </c>
      <c r="F90" s="7" t="s">
        <v>561</v>
      </c>
      <c r="G90" s="7" t="s">
        <v>562</v>
      </c>
      <c r="H90" s="7" t="s">
        <v>563</v>
      </c>
      <c r="I90" s="8" t="s">
        <v>39</v>
      </c>
      <c r="J90" s="8" t="s">
        <v>40</v>
      </c>
      <c r="K90" s="8" t="s">
        <v>40</v>
      </c>
      <c r="L90" s="7" t="s">
        <v>41</v>
      </c>
      <c r="M90" s="7" t="s">
        <v>41</v>
      </c>
      <c r="N90" s="7" t="s">
        <v>41</v>
      </c>
    </row>
    <row r="91" ht="36" customHeight="1" spans="1:14" x14ac:dyDescent="0.25">
      <c r="A91" s="9" t="s">
        <v>564</v>
      </c>
      <c r="B91" s="9" t="s">
        <v>446</v>
      </c>
      <c r="C91" s="9" t="s">
        <v>565</v>
      </c>
      <c r="D91" s="9" t="s">
        <v>547</v>
      </c>
      <c r="E91" s="9" t="s">
        <v>566</v>
      </c>
      <c r="F91" s="9" t="s">
        <v>567</v>
      </c>
      <c r="G91" s="9" t="s">
        <v>568</v>
      </c>
      <c r="H91" s="9" t="s">
        <v>569</v>
      </c>
      <c r="I91" s="8" t="s">
        <v>39</v>
      </c>
      <c r="J91" s="8" t="s">
        <v>40</v>
      </c>
      <c r="K91" s="8" t="s">
        <v>40</v>
      </c>
      <c r="L91" s="7" t="s">
        <v>41</v>
      </c>
      <c r="M91" s="7" t="s">
        <v>41</v>
      </c>
      <c r="N91" s="7" t="s">
        <v>41</v>
      </c>
    </row>
    <row r="92" ht="36" customHeight="1" spans="1:14" x14ac:dyDescent="0.25">
      <c r="A92" s="7" t="s">
        <v>570</v>
      </c>
      <c r="B92" s="7" t="s">
        <v>446</v>
      </c>
      <c r="C92" s="7" t="s">
        <v>571</v>
      </c>
      <c r="D92" s="7" t="s">
        <v>405</v>
      </c>
      <c r="E92" s="7" t="s">
        <v>572</v>
      </c>
      <c r="F92" s="7" t="s">
        <v>573</v>
      </c>
      <c r="G92" s="7" t="s">
        <v>574</v>
      </c>
      <c r="H92" s="7" t="s">
        <v>575</v>
      </c>
      <c r="I92" s="8" t="s">
        <v>39</v>
      </c>
      <c r="J92" s="8" t="s">
        <v>40</v>
      </c>
      <c r="K92" s="8" t="s">
        <v>40</v>
      </c>
      <c r="L92" s="7" t="s">
        <v>41</v>
      </c>
      <c r="M92" s="7" t="s">
        <v>41</v>
      </c>
      <c r="N92" s="7" t="s">
        <v>41</v>
      </c>
    </row>
    <row r="93" ht="36" customHeight="1" spans="1:14" x14ac:dyDescent="0.25">
      <c r="A93" s="9" t="s">
        <v>576</v>
      </c>
      <c r="B93" s="9" t="s">
        <v>446</v>
      </c>
      <c r="C93" s="9" t="s">
        <v>577</v>
      </c>
      <c r="D93" s="9" t="s">
        <v>474</v>
      </c>
      <c r="E93" s="9" t="s">
        <v>578</v>
      </c>
      <c r="F93" s="9" t="s">
        <v>579</v>
      </c>
      <c r="G93" s="9" t="s">
        <v>580</v>
      </c>
      <c r="H93" s="9" t="s">
        <v>581</v>
      </c>
      <c r="I93" s="8" t="s">
        <v>39</v>
      </c>
      <c r="J93" s="8" t="s">
        <v>40</v>
      </c>
      <c r="K93" s="8" t="s">
        <v>40</v>
      </c>
      <c r="L93" s="7" t="s">
        <v>41</v>
      </c>
      <c r="M93" s="7" t="s">
        <v>41</v>
      </c>
      <c r="N93" s="7" t="s">
        <v>41</v>
      </c>
    </row>
    <row r="94" ht="36" customHeight="1" spans="1:14" x14ac:dyDescent="0.25">
      <c r="A94" s="7" t="s">
        <v>582</v>
      </c>
      <c r="B94" s="7" t="s">
        <v>583</v>
      </c>
      <c r="C94" s="7" t="s">
        <v>584</v>
      </c>
      <c r="D94" s="7" t="s">
        <v>51</v>
      </c>
      <c r="E94" s="7" t="s">
        <v>585</v>
      </c>
      <c r="F94" s="7" t="s">
        <v>586</v>
      </c>
      <c r="G94" s="7" t="s">
        <v>587</v>
      </c>
      <c r="H94" s="7" t="s">
        <v>588</v>
      </c>
      <c r="I94" s="8" t="s">
        <v>39</v>
      </c>
      <c r="J94" s="8" t="s">
        <v>40</v>
      </c>
      <c r="K94" s="8" t="s">
        <v>40</v>
      </c>
      <c r="L94" s="7" t="s">
        <v>41</v>
      </c>
      <c r="M94" s="7" t="s">
        <v>41</v>
      </c>
      <c r="N94" s="7" t="s">
        <v>41</v>
      </c>
    </row>
    <row r="95" ht="36" customHeight="1" spans="1:14" x14ac:dyDescent="0.25">
      <c r="A95" s="9" t="s">
        <v>589</v>
      </c>
      <c r="B95" s="9" t="s">
        <v>583</v>
      </c>
      <c r="C95" s="9" t="s">
        <v>590</v>
      </c>
      <c r="D95" s="9" t="s">
        <v>469</v>
      </c>
      <c r="E95" s="9" t="s">
        <v>591</v>
      </c>
      <c r="F95" s="9" t="s">
        <v>592</v>
      </c>
      <c r="G95" s="9" t="s">
        <v>593</v>
      </c>
      <c r="H95" s="9" t="s">
        <v>588</v>
      </c>
      <c r="I95" s="8" t="s">
        <v>39</v>
      </c>
      <c r="J95" s="8" t="s">
        <v>40</v>
      </c>
      <c r="K95" s="8" t="s">
        <v>40</v>
      </c>
      <c r="L95" s="7" t="s">
        <v>41</v>
      </c>
      <c r="M95" s="7" t="s">
        <v>41</v>
      </c>
      <c r="N95" s="7" t="s">
        <v>41</v>
      </c>
    </row>
    <row r="96" ht="36" customHeight="1" spans="1:14" x14ac:dyDescent="0.25">
      <c r="A96" s="7" t="s">
        <v>594</v>
      </c>
      <c r="B96" s="7" t="s">
        <v>583</v>
      </c>
      <c r="C96" s="7" t="s">
        <v>595</v>
      </c>
      <c r="D96" s="7" t="s">
        <v>547</v>
      </c>
      <c r="E96" s="7" t="s">
        <v>596</v>
      </c>
      <c r="F96" s="7" t="s">
        <v>597</v>
      </c>
      <c r="G96" s="7" t="s">
        <v>598</v>
      </c>
      <c r="H96" s="7" t="s">
        <v>588</v>
      </c>
      <c r="I96" s="8" t="s">
        <v>39</v>
      </c>
      <c r="J96" s="8" t="s">
        <v>40</v>
      </c>
      <c r="K96" s="8" t="s">
        <v>40</v>
      </c>
      <c r="L96" s="7" t="s">
        <v>41</v>
      </c>
      <c r="M96" s="7" t="s">
        <v>41</v>
      </c>
      <c r="N96" s="7" t="s">
        <v>41</v>
      </c>
    </row>
    <row r="97" ht="36" customHeight="1" spans="1:14" x14ac:dyDescent="0.25">
      <c r="A97" s="9" t="s">
        <v>599</v>
      </c>
      <c r="B97" s="9" t="s">
        <v>583</v>
      </c>
      <c r="C97" s="9" t="s">
        <v>600</v>
      </c>
      <c r="D97" s="9" t="s">
        <v>474</v>
      </c>
      <c r="E97" s="9" t="s">
        <v>601</v>
      </c>
      <c r="F97" s="9" t="s">
        <v>602</v>
      </c>
      <c r="G97" s="9" t="s">
        <v>603</v>
      </c>
      <c r="H97" s="9" t="s">
        <v>588</v>
      </c>
      <c r="I97" s="8" t="s">
        <v>39</v>
      </c>
      <c r="J97" s="8" t="s">
        <v>40</v>
      </c>
      <c r="K97" s="8" t="s">
        <v>40</v>
      </c>
      <c r="L97" s="7" t="s">
        <v>41</v>
      </c>
      <c r="M97" s="7" t="s">
        <v>41</v>
      </c>
      <c r="N97" s="7" t="s">
        <v>41</v>
      </c>
    </row>
    <row r="98" ht="36" customHeight="1" spans="1:14" x14ac:dyDescent="0.25">
      <c r="A98" s="7" t="s">
        <v>604</v>
      </c>
      <c r="B98" s="7" t="s">
        <v>583</v>
      </c>
      <c r="C98" s="7" t="s">
        <v>605</v>
      </c>
      <c r="D98" s="7" t="s">
        <v>606</v>
      </c>
      <c r="E98" s="7" t="s">
        <v>607</v>
      </c>
      <c r="F98" s="7" t="s">
        <v>608</v>
      </c>
      <c r="G98" s="7" t="s">
        <v>609</v>
      </c>
      <c r="H98" s="7" t="s">
        <v>610</v>
      </c>
      <c r="I98" s="8" t="s">
        <v>39</v>
      </c>
      <c r="J98" s="8" t="s">
        <v>40</v>
      </c>
      <c r="K98" s="8" t="s">
        <v>40</v>
      </c>
      <c r="L98" s="7" t="s">
        <v>41</v>
      </c>
      <c r="M98" s="7" t="s">
        <v>41</v>
      </c>
      <c r="N98" s="7" t="s">
        <v>41</v>
      </c>
    </row>
    <row r="99" ht="36" customHeight="1" spans="1:14" x14ac:dyDescent="0.25">
      <c r="A99" s="9" t="s">
        <v>611</v>
      </c>
      <c r="B99" s="9" t="s">
        <v>612</v>
      </c>
      <c r="C99" s="9" t="s">
        <v>613</v>
      </c>
      <c r="D99" s="9" t="s">
        <v>374</v>
      </c>
      <c r="E99" s="9" t="s">
        <v>405</v>
      </c>
      <c r="F99" s="9" t="s">
        <v>614</v>
      </c>
      <c r="G99" s="9" t="s">
        <v>615</v>
      </c>
      <c r="H99" s="9" t="s">
        <v>616</v>
      </c>
      <c r="I99" s="8" t="s">
        <v>39</v>
      </c>
      <c r="J99" s="8" t="s">
        <v>40</v>
      </c>
      <c r="K99" s="8" t="s">
        <v>40</v>
      </c>
      <c r="L99" s="7" t="s">
        <v>41</v>
      </c>
      <c r="M99" s="7" t="s">
        <v>41</v>
      </c>
      <c r="N99" s="7" t="s">
        <v>41</v>
      </c>
    </row>
    <row r="100" ht="36" customHeight="1" spans="1:14" x14ac:dyDescent="0.25">
      <c r="A100" s="7" t="s">
        <v>617</v>
      </c>
      <c r="B100" s="7" t="s">
        <v>612</v>
      </c>
      <c r="C100" s="7" t="s">
        <v>618</v>
      </c>
      <c r="D100" s="7" t="s">
        <v>374</v>
      </c>
      <c r="E100" s="7" t="s">
        <v>405</v>
      </c>
      <c r="F100" s="7" t="s">
        <v>619</v>
      </c>
      <c r="G100" s="7" t="s">
        <v>350</v>
      </c>
      <c r="H100" s="7" t="s">
        <v>620</v>
      </c>
      <c r="I100" s="8" t="s">
        <v>39</v>
      </c>
      <c r="J100" s="8" t="s">
        <v>40</v>
      </c>
      <c r="K100" s="8" t="s">
        <v>40</v>
      </c>
      <c r="L100" s="7" t="s">
        <v>41</v>
      </c>
      <c r="M100" s="7" t="s">
        <v>41</v>
      </c>
      <c r="N100" s="7" t="s">
        <v>41</v>
      </c>
    </row>
    <row r="101" ht="36" customHeight="1" spans="1:14" x14ac:dyDescent="0.25">
      <c r="A101" s="9" t="s">
        <v>621</v>
      </c>
      <c r="B101" s="9" t="s">
        <v>612</v>
      </c>
      <c r="C101" s="9" t="s">
        <v>622</v>
      </c>
      <c r="D101" s="9" t="s">
        <v>374</v>
      </c>
      <c r="E101" s="9" t="s">
        <v>623</v>
      </c>
      <c r="F101" s="9" t="s">
        <v>624</v>
      </c>
      <c r="G101" s="9" t="s">
        <v>625</v>
      </c>
      <c r="H101" s="9" t="s">
        <v>626</v>
      </c>
      <c r="I101" s="8" t="s">
        <v>39</v>
      </c>
      <c r="J101" s="8" t="s">
        <v>40</v>
      </c>
      <c r="K101" s="8" t="s">
        <v>40</v>
      </c>
      <c r="L101" s="7" t="s">
        <v>41</v>
      </c>
      <c r="M101" s="7" t="s">
        <v>41</v>
      </c>
      <c r="N101" s="7" t="s">
        <v>41</v>
      </c>
    </row>
    <row r="102" ht="36" customHeight="1" spans="1:14" x14ac:dyDescent="0.25">
      <c r="A102" s="7" t="s">
        <v>627</v>
      </c>
      <c r="B102" s="7" t="s">
        <v>612</v>
      </c>
      <c r="C102" s="7" t="s">
        <v>628</v>
      </c>
      <c r="D102" s="7" t="s">
        <v>374</v>
      </c>
      <c r="E102" s="7" t="s">
        <v>629</v>
      </c>
      <c r="F102" s="7" t="s">
        <v>630</v>
      </c>
      <c r="G102" s="7" t="s">
        <v>631</v>
      </c>
      <c r="H102" s="7" t="s">
        <v>632</v>
      </c>
      <c r="I102" s="8" t="s">
        <v>39</v>
      </c>
      <c r="J102" s="8" t="s">
        <v>40</v>
      </c>
      <c r="K102" s="8" t="s">
        <v>40</v>
      </c>
      <c r="L102" s="7" t="s">
        <v>41</v>
      </c>
      <c r="M102" s="7" t="s">
        <v>41</v>
      </c>
      <c r="N102" s="7" t="s">
        <v>41</v>
      </c>
    </row>
    <row r="103" ht="36" customHeight="1" spans="1:14" x14ac:dyDescent="0.25">
      <c r="A103" s="9" t="s">
        <v>633</v>
      </c>
      <c r="B103" s="9" t="s">
        <v>612</v>
      </c>
      <c r="C103" s="9" t="s">
        <v>634</v>
      </c>
      <c r="D103" s="9" t="s">
        <v>374</v>
      </c>
      <c r="E103" s="9" t="s">
        <v>635</v>
      </c>
      <c r="F103" s="9" t="s">
        <v>636</v>
      </c>
      <c r="G103" s="9" t="s">
        <v>350</v>
      </c>
      <c r="H103" s="9" t="s">
        <v>637</v>
      </c>
      <c r="I103" s="8" t="s">
        <v>39</v>
      </c>
      <c r="J103" s="8" t="s">
        <v>40</v>
      </c>
      <c r="K103" s="8" t="s">
        <v>40</v>
      </c>
      <c r="L103" s="7" t="s">
        <v>41</v>
      </c>
      <c r="M103" s="7" t="s">
        <v>41</v>
      </c>
      <c r="N103" s="7" t="s">
        <v>41</v>
      </c>
    </row>
    <row r="104" ht="36" customHeight="1" spans="1:14" x14ac:dyDescent="0.25">
      <c r="A104" s="7" t="s">
        <v>638</v>
      </c>
      <c r="B104" s="7" t="s">
        <v>612</v>
      </c>
      <c r="C104" s="7" t="s">
        <v>639</v>
      </c>
      <c r="D104" s="7" t="s">
        <v>374</v>
      </c>
      <c r="E104" s="7" t="s">
        <v>640</v>
      </c>
      <c r="F104" s="7" t="s">
        <v>641</v>
      </c>
      <c r="G104" s="7" t="s">
        <v>350</v>
      </c>
      <c r="H104" s="7" t="s">
        <v>642</v>
      </c>
      <c r="I104" s="8" t="s">
        <v>39</v>
      </c>
      <c r="J104" s="8" t="s">
        <v>40</v>
      </c>
      <c r="K104" s="8" t="s">
        <v>40</v>
      </c>
      <c r="L104" s="7" t="s">
        <v>41</v>
      </c>
      <c r="M104" s="7" t="s">
        <v>41</v>
      </c>
      <c r="N104" s="7" t="s">
        <v>41</v>
      </c>
    </row>
    <row r="105" ht="36" customHeight="1" spans="1:14" x14ac:dyDescent="0.25">
      <c r="A105" s="9" t="s">
        <v>643</v>
      </c>
      <c r="B105" s="9" t="s">
        <v>612</v>
      </c>
      <c r="C105" s="9" t="s">
        <v>644</v>
      </c>
      <c r="D105" s="9" t="s">
        <v>645</v>
      </c>
      <c r="E105" s="9" t="s">
        <v>646</v>
      </c>
      <c r="F105" s="9" t="s">
        <v>647</v>
      </c>
      <c r="G105" s="9" t="s">
        <v>648</v>
      </c>
      <c r="H105" s="9" t="s">
        <v>649</v>
      </c>
      <c r="I105" s="8" t="s">
        <v>39</v>
      </c>
      <c r="J105" s="8" t="s">
        <v>40</v>
      </c>
      <c r="K105" s="8" t="s">
        <v>40</v>
      </c>
      <c r="L105" s="7" t="s">
        <v>41</v>
      </c>
      <c r="M105" s="7" t="s">
        <v>41</v>
      </c>
      <c r="N105" s="7" t="s">
        <v>41</v>
      </c>
    </row>
    <row r="106" ht="36" customHeight="1" spans="1:14" x14ac:dyDescent="0.25">
      <c r="A106" s="7" t="s">
        <v>650</v>
      </c>
      <c r="B106" s="7" t="s">
        <v>612</v>
      </c>
      <c r="C106" s="7" t="s">
        <v>651</v>
      </c>
      <c r="D106" s="7" t="s">
        <v>652</v>
      </c>
      <c r="E106" s="7" t="s">
        <v>653</v>
      </c>
      <c r="F106" s="7" t="s">
        <v>654</v>
      </c>
      <c r="G106" s="7" t="s">
        <v>655</v>
      </c>
      <c r="H106" s="7"/>
      <c r="I106" s="8" t="s">
        <v>39</v>
      </c>
      <c r="J106" s="8" t="s">
        <v>40</v>
      </c>
      <c r="K106" s="8" t="s">
        <v>40</v>
      </c>
      <c r="L106" s="7" t="s">
        <v>41</v>
      </c>
      <c r="M106" s="7" t="s">
        <v>41</v>
      </c>
      <c r="N106" s="7" t="s">
        <v>41</v>
      </c>
    </row>
    <row r="107" ht="36" customHeight="1" spans="1:14" x14ac:dyDescent="0.25">
      <c r="A107" s="9" t="s">
        <v>656</v>
      </c>
      <c r="B107" s="9" t="s">
        <v>657</v>
      </c>
      <c r="C107" s="9" t="s">
        <v>658</v>
      </c>
      <c r="D107" s="9" t="s">
        <v>34</v>
      </c>
      <c r="E107" s="9" t="s">
        <v>659</v>
      </c>
      <c r="F107" s="9" t="s">
        <v>660</v>
      </c>
      <c r="G107" s="9" t="s">
        <v>661</v>
      </c>
      <c r="H107" s="9" t="s">
        <v>662</v>
      </c>
      <c r="I107" s="8" t="s">
        <v>39</v>
      </c>
      <c r="J107" s="8" t="s">
        <v>40</v>
      </c>
      <c r="K107" s="8" t="s">
        <v>40</v>
      </c>
      <c r="L107" s="7" t="s">
        <v>41</v>
      </c>
      <c r="M107" s="7" t="s">
        <v>41</v>
      </c>
      <c r="N107" s="7" t="s">
        <v>41</v>
      </c>
    </row>
    <row r="108" ht="36" customHeight="1" spans="1:14" x14ac:dyDescent="0.25">
      <c r="A108" s="7" t="s">
        <v>663</v>
      </c>
      <c r="B108" s="7" t="s">
        <v>657</v>
      </c>
      <c r="C108" s="7" t="s">
        <v>664</v>
      </c>
      <c r="D108" s="7" t="s">
        <v>665</v>
      </c>
      <c r="E108" s="7" t="s">
        <v>666</v>
      </c>
      <c r="F108" s="7" t="s">
        <v>660</v>
      </c>
      <c r="G108" s="7" t="s">
        <v>667</v>
      </c>
      <c r="H108" s="7" t="s">
        <v>668</v>
      </c>
      <c r="I108" s="8" t="s">
        <v>39</v>
      </c>
      <c r="J108" s="8" t="s">
        <v>40</v>
      </c>
      <c r="K108" s="8" t="s">
        <v>40</v>
      </c>
      <c r="L108" s="7" t="s">
        <v>41</v>
      </c>
      <c r="M108" s="7" t="s">
        <v>41</v>
      </c>
      <c r="N108" s="7" t="s">
        <v>41</v>
      </c>
    </row>
    <row r="109" ht="36" customHeight="1" spans="1:14" x14ac:dyDescent="0.25">
      <c r="A109" s="9" t="s">
        <v>669</v>
      </c>
      <c r="B109" s="9" t="s">
        <v>657</v>
      </c>
      <c r="C109" s="9" t="s">
        <v>670</v>
      </c>
      <c r="D109" s="9" t="s">
        <v>321</v>
      </c>
      <c r="E109" s="9" t="s">
        <v>671</v>
      </c>
      <c r="F109" s="9" t="s">
        <v>672</v>
      </c>
      <c r="G109" s="9" t="s">
        <v>673</v>
      </c>
      <c r="H109" s="9" t="s">
        <v>674</v>
      </c>
      <c r="I109" s="8" t="s">
        <v>39</v>
      </c>
      <c r="J109" s="8" t="s">
        <v>40</v>
      </c>
      <c r="K109" s="8" t="s">
        <v>40</v>
      </c>
      <c r="L109" s="7" t="s">
        <v>41</v>
      </c>
      <c r="M109" s="7" t="s">
        <v>41</v>
      </c>
      <c r="N109" s="7" t="s">
        <v>41</v>
      </c>
    </row>
    <row r="110" ht="36" customHeight="1" spans="1:14" x14ac:dyDescent="0.25">
      <c r="A110" s="7" t="s">
        <v>675</v>
      </c>
      <c r="B110" s="7" t="s">
        <v>657</v>
      </c>
      <c r="C110" s="7" t="s">
        <v>676</v>
      </c>
      <c r="D110" s="7" t="s">
        <v>321</v>
      </c>
      <c r="E110" s="7" t="s">
        <v>254</v>
      </c>
      <c r="F110" s="7" t="s">
        <v>345</v>
      </c>
      <c r="G110" s="7" t="s">
        <v>350</v>
      </c>
      <c r="H110" s="7" t="s">
        <v>677</v>
      </c>
      <c r="I110" s="8" t="s">
        <v>39</v>
      </c>
      <c r="J110" s="8" t="s">
        <v>40</v>
      </c>
      <c r="K110" s="8" t="s">
        <v>40</v>
      </c>
      <c r="L110" s="7" t="s">
        <v>41</v>
      </c>
      <c r="M110" s="7" t="s">
        <v>41</v>
      </c>
      <c r="N110" s="7" t="s">
        <v>41</v>
      </c>
    </row>
    <row r="111" ht="36" customHeight="1" spans="1:14" x14ac:dyDescent="0.25">
      <c r="A111" s="9" t="s">
        <v>678</v>
      </c>
      <c r="B111" s="9" t="s">
        <v>657</v>
      </c>
      <c r="C111" s="9" t="s">
        <v>679</v>
      </c>
      <c r="D111" s="9" t="s">
        <v>321</v>
      </c>
      <c r="E111" s="9" t="s">
        <v>680</v>
      </c>
      <c r="F111" s="9" t="s">
        <v>681</v>
      </c>
      <c r="G111" s="9" t="s">
        <v>682</v>
      </c>
      <c r="H111" s="9" t="s">
        <v>683</v>
      </c>
      <c r="I111" s="8" t="s">
        <v>39</v>
      </c>
      <c r="J111" s="8" t="s">
        <v>40</v>
      </c>
      <c r="K111" s="8" t="s">
        <v>40</v>
      </c>
      <c r="L111" s="7" t="s">
        <v>41</v>
      </c>
      <c r="M111" s="7" t="s">
        <v>41</v>
      </c>
      <c r="N111" s="7" t="s">
        <v>41</v>
      </c>
    </row>
    <row r="112" ht="36" customHeight="1" spans="1:14" x14ac:dyDescent="0.25">
      <c r="A112" s="7" t="s">
        <v>684</v>
      </c>
      <c r="B112" s="7" t="s">
        <v>657</v>
      </c>
      <c r="C112" s="7" t="s">
        <v>685</v>
      </c>
      <c r="D112" s="7" t="s">
        <v>321</v>
      </c>
      <c r="E112" s="7" t="s">
        <v>308</v>
      </c>
      <c r="F112" s="7" t="s">
        <v>686</v>
      </c>
      <c r="G112" s="7" t="s">
        <v>687</v>
      </c>
      <c r="H112" s="7" t="s">
        <v>318</v>
      </c>
      <c r="I112" s="8" t="s">
        <v>39</v>
      </c>
      <c r="J112" s="8" t="s">
        <v>40</v>
      </c>
      <c r="K112" s="8" t="s">
        <v>40</v>
      </c>
      <c r="L112" s="7" t="s">
        <v>41</v>
      </c>
      <c r="M112" s="7" t="s">
        <v>41</v>
      </c>
      <c r="N112" s="7" t="s">
        <v>41</v>
      </c>
    </row>
    <row r="113" ht="36" customHeight="1" spans="1:14" x14ac:dyDescent="0.25">
      <c r="A113" s="9" t="s">
        <v>688</v>
      </c>
      <c r="B113" s="9" t="s">
        <v>657</v>
      </c>
      <c r="C113" s="9" t="s">
        <v>689</v>
      </c>
      <c r="D113" s="9" t="s">
        <v>690</v>
      </c>
      <c r="E113" s="9" t="s">
        <v>495</v>
      </c>
      <c r="F113" s="9" t="s">
        <v>691</v>
      </c>
      <c r="G113" s="9" t="s">
        <v>692</v>
      </c>
      <c r="H113" s="9" t="s">
        <v>693</v>
      </c>
      <c r="I113" s="8" t="s">
        <v>39</v>
      </c>
      <c r="J113" s="8" t="s">
        <v>40</v>
      </c>
      <c r="K113" s="8" t="s">
        <v>40</v>
      </c>
      <c r="L113" s="7" t="s">
        <v>41</v>
      </c>
      <c r="M113" s="7" t="s">
        <v>41</v>
      </c>
      <c r="N113" s="7" t="s">
        <v>41</v>
      </c>
    </row>
    <row r="114" ht="36" customHeight="1" spans="1:14" x14ac:dyDescent="0.25">
      <c r="A114" s="7" t="s">
        <v>694</v>
      </c>
      <c r="B114" s="7" t="s">
        <v>695</v>
      </c>
      <c r="C114" s="7" t="s">
        <v>696</v>
      </c>
      <c r="D114" s="7" t="s">
        <v>220</v>
      </c>
      <c r="E114" s="7" t="s">
        <v>697</v>
      </c>
      <c r="F114" s="7" t="s">
        <v>698</v>
      </c>
      <c r="G114" s="7" t="s">
        <v>699</v>
      </c>
      <c r="H114" s="7" t="s">
        <v>700</v>
      </c>
      <c r="I114" s="8" t="s">
        <v>39</v>
      </c>
      <c r="J114" s="8" t="s">
        <v>40</v>
      </c>
      <c r="K114" s="8" t="s">
        <v>40</v>
      </c>
      <c r="L114" s="7" t="s">
        <v>41</v>
      </c>
      <c r="M114" s="7" t="s">
        <v>41</v>
      </c>
      <c r="N114" s="7" t="s">
        <v>41</v>
      </c>
    </row>
    <row r="115" ht="36" customHeight="1" spans="1:14" x14ac:dyDescent="0.25">
      <c r="A115" s="9" t="s">
        <v>701</v>
      </c>
      <c r="B115" s="9" t="s">
        <v>695</v>
      </c>
      <c r="C115" s="9" t="s">
        <v>702</v>
      </c>
      <c r="D115" s="9" t="s">
        <v>220</v>
      </c>
      <c r="E115" s="9" t="s">
        <v>703</v>
      </c>
      <c r="F115" s="9" t="s">
        <v>704</v>
      </c>
      <c r="G115" s="9" t="s">
        <v>705</v>
      </c>
      <c r="H115" s="9" t="s">
        <v>706</v>
      </c>
      <c r="I115" s="8" t="s">
        <v>39</v>
      </c>
      <c r="J115" s="8" t="s">
        <v>40</v>
      </c>
      <c r="K115" s="8" t="s">
        <v>40</v>
      </c>
      <c r="L115" s="7" t="s">
        <v>41</v>
      </c>
      <c r="M115" s="7" t="s">
        <v>41</v>
      </c>
      <c r="N115" s="7" t="s">
        <v>41</v>
      </c>
    </row>
    <row r="116" ht="36" customHeight="1" spans="1:14" x14ac:dyDescent="0.25">
      <c r="A116" s="7" t="s">
        <v>707</v>
      </c>
      <c r="B116" s="7" t="s">
        <v>695</v>
      </c>
      <c r="C116" s="7" t="s">
        <v>708</v>
      </c>
      <c r="D116" s="7" t="s">
        <v>220</v>
      </c>
      <c r="E116" s="7" t="s">
        <v>709</v>
      </c>
      <c r="F116" s="7" t="s">
        <v>710</v>
      </c>
      <c r="G116" s="7" t="s">
        <v>711</v>
      </c>
      <c r="H116" s="7" t="s">
        <v>712</v>
      </c>
      <c r="I116" s="8" t="s">
        <v>39</v>
      </c>
      <c r="J116" s="8" t="s">
        <v>40</v>
      </c>
      <c r="K116" s="8" t="s">
        <v>40</v>
      </c>
      <c r="L116" s="7" t="s">
        <v>41</v>
      </c>
      <c r="M116" s="7" t="s">
        <v>41</v>
      </c>
      <c r="N116" s="7" t="s">
        <v>41</v>
      </c>
    </row>
    <row r="117" ht="36" customHeight="1" spans="1:14" x14ac:dyDescent="0.25">
      <c r="A117" s="9" t="s">
        <v>713</v>
      </c>
      <c r="B117" s="9" t="s">
        <v>695</v>
      </c>
      <c r="C117" s="9" t="s">
        <v>714</v>
      </c>
      <c r="D117" s="9" t="s">
        <v>58</v>
      </c>
      <c r="E117" s="9" t="s">
        <v>715</v>
      </c>
      <c r="F117" s="9" t="s">
        <v>506</v>
      </c>
      <c r="G117" s="9" t="s">
        <v>716</v>
      </c>
      <c r="H117" s="9" t="s">
        <v>717</v>
      </c>
      <c r="I117" s="8" t="s">
        <v>39</v>
      </c>
      <c r="J117" s="8" t="s">
        <v>40</v>
      </c>
      <c r="K117" s="8" t="s">
        <v>40</v>
      </c>
      <c r="L117" s="7" t="s">
        <v>41</v>
      </c>
      <c r="M117" s="7" t="s">
        <v>41</v>
      </c>
      <c r="N117" s="7" t="s">
        <v>41</v>
      </c>
    </row>
    <row r="118" ht="36" customHeight="1" spans="1:14" x14ac:dyDescent="0.25">
      <c r="A118" s="7" t="s">
        <v>718</v>
      </c>
      <c r="B118" s="7" t="s">
        <v>695</v>
      </c>
      <c r="C118" s="7" t="s">
        <v>719</v>
      </c>
      <c r="D118" s="7" t="s">
        <v>58</v>
      </c>
      <c r="E118" s="7" t="s">
        <v>720</v>
      </c>
      <c r="F118" s="7" t="s">
        <v>100</v>
      </c>
      <c r="G118" s="7" t="s">
        <v>721</v>
      </c>
      <c r="H118" s="7" t="s">
        <v>722</v>
      </c>
      <c r="I118" s="8" t="s">
        <v>39</v>
      </c>
      <c r="J118" s="8" t="s">
        <v>40</v>
      </c>
      <c r="K118" s="8" t="s">
        <v>40</v>
      </c>
      <c r="L118" s="7" t="s">
        <v>41</v>
      </c>
      <c r="M118" s="7" t="s">
        <v>41</v>
      </c>
      <c r="N118" s="7" t="s">
        <v>41</v>
      </c>
    </row>
    <row r="119" ht="36" customHeight="1" spans="1:14" x14ac:dyDescent="0.25">
      <c r="A119" s="9" t="s">
        <v>723</v>
      </c>
      <c r="B119" s="9" t="s">
        <v>695</v>
      </c>
      <c r="C119" s="9" t="s">
        <v>724</v>
      </c>
      <c r="D119" s="9" t="s">
        <v>725</v>
      </c>
      <c r="E119" s="9" t="s">
        <v>726</v>
      </c>
      <c r="F119" s="9" t="s">
        <v>727</v>
      </c>
      <c r="G119" s="9" t="s">
        <v>728</v>
      </c>
      <c r="H119" s="9" t="s">
        <v>729</v>
      </c>
      <c r="I119" s="8" t="s">
        <v>39</v>
      </c>
      <c r="J119" s="8" t="s">
        <v>40</v>
      </c>
      <c r="K119" s="8" t="s">
        <v>40</v>
      </c>
      <c r="L119" s="7" t="s">
        <v>41</v>
      </c>
      <c r="M119" s="7" t="s">
        <v>41</v>
      </c>
      <c r="N119" s="7" t="s">
        <v>41</v>
      </c>
    </row>
    <row r="120" ht="36" customHeight="1" spans="1:14" x14ac:dyDescent="0.25">
      <c r="A120" s="7" t="s">
        <v>730</v>
      </c>
      <c r="B120" s="7" t="s">
        <v>695</v>
      </c>
      <c r="C120" s="7" t="s">
        <v>731</v>
      </c>
      <c r="D120" s="7" t="s">
        <v>732</v>
      </c>
      <c r="E120" s="7" t="s">
        <v>733</v>
      </c>
      <c r="F120" s="7" t="s">
        <v>734</v>
      </c>
      <c r="G120" s="7" t="s">
        <v>735</v>
      </c>
      <c r="H120" s="7"/>
      <c r="I120" s="8" t="s">
        <v>39</v>
      </c>
      <c r="J120" s="8" t="s">
        <v>40</v>
      </c>
      <c r="K120" s="8" t="s">
        <v>40</v>
      </c>
      <c r="L120" s="7" t="s">
        <v>41</v>
      </c>
      <c r="M120" s="7" t="s">
        <v>41</v>
      </c>
      <c r="N120" s="7" t="s">
        <v>41</v>
      </c>
    </row>
    <row r="121" ht="36" customHeight="1" spans="1:14" x14ac:dyDescent="0.25">
      <c r="A121" s="9" t="s">
        <v>736</v>
      </c>
      <c r="B121" s="9" t="s">
        <v>737</v>
      </c>
      <c r="C121" s="9" t="s">
        <v>738</v>
      </c>
      <c r="D121" s="9" t="s">
        <v>220</v>
      </c>
      <c r="E121" s="9" t="s">
        <v>204</v>
      </c>
      <c r="F121" s="9" t="s">
        <v>122</v>
      </c>
      <c r="G121" s="9" t="s">
        <v>739</v>
      </c>
      <c r="H121" s="9" t="s">
        <v>740</v>
      </c>
      <c r="I121" s="8" t="s">
        <v>39</v>
      </c>
      <c r="J121" s="8" t="s">
        <v>40</v>
      </c>
      <c r="K121" s="8" t="s">
        <v>40</v>
      </c>
      <c r="L121" s="7" t="s">
        <v>41</v>
      </c>
      <c r="M121" s="7" t="s">
        <v>41</v>
      </c>
      <c r="N121" s="7" t="s">
        <v>41</v>
      </c>
    </row>
    <row r="122" ht="36" customHeight="1" spans="1:14" x14ac:dyDescent="0.25">
      <c r="A122" s="7" t="s">
        <v>741</v>
      </c>
      <c r="B122" s="7" t="s">
        <v>737</v>
      </c>
      <c r="C122" s="7" t="s">
        <v>742</v>
      </c>
      <c r="D122" s="7" t="s">
        <v>354</v>
      </c>
      <c r="E122" s="7" t="s">
        <v>743</v>
      </c>
      <c r="F122" s="7" t="s">
        <v>744</v>
      </c>
      <c r="G122" s="7" t="s">
        <v>745</v>
      </c>
      <c r="H122" s="7" t="s">
        <v>746</v>
      </c>
      <c r="I122" s="8" t="s">
        <v>39</v>
      </c>
      <c r="J122" s="8" t="s">
        <v>40</v>
      </c>
      <c r="K122" s="8" t="s">
        <v>40</v>
      </c>
      <c r="L122" s="7" t="s">
        <v>41</v>
      </c>
      <c r="M122" s="7" t="s">
        <v>41</v>
      </c>
      <c r="N122" s="7" t="s">
        <v>41</v>
      </c>
    </row>
    <row r="123" ht="36" customHeight="1" spans="1:14" x14ac:dyDescent="0.25">
      <c r="A123" s="9" t="s">
        <v>747</v>
      </c>
      <c r="B123" s="9" t="s">
        <v>737</v>
      </c>
      <c r="C123" s="9" t="s">
        <v>748</v>
      </c>
      <c r="D123" s="9" t="s">
        <v>354</v>
      </c>
      <c r="E123" s="9" t="s">
        <v>435</v>
      </c>
      <c r="F123" s="9" t="s">
        <v>749</v>
      </c>
      <c r="G123" s="9" t="s">
        <v>750</v>
      </c>
      <c r="H123" s="9" t="s">
        <v>171</v>
      </c>
      <c r="I123" s="8" t="s">
        <v>39</v>
      </c>
      <c r="J123" s="8" t="s">
        <v>40</v>
      </c>
      <c r="K123" s="8" t="s">
        <v>40</v>
      </c>
      <c r="L123" s="7" t="s">
        <v>41</v>
      </c>
      <c r="M123" s="7" t="s">
        <v>41</v>
      </c>
      <c r="N123" s="7" t="s">
        <v>41</v>
      </c>
    </row>
    <row r="124" ht="36" customHeight="1" spans="1:14" x14ac:dyDescent="0.25">
      <c r="A124" s="7" t="s">
        <v>751</v>
      </c>
      <c r="B124" s="7" t="s">
        <v>737</v>
      </c>
      <c r="C124" s="7" t="s">
        <v>752</v>
      </c>
      <c r="D124" s="7" t="s">
        <v>354</v>
      </c>
      <c r="E124" s="7" t="s">
        <v>753</v>
      </c>
      <c r="F124" s="7" t="s">
        <v>754</v>
      </c>
      <c r="G124" s="7" t="s">
        <v>755</v>
      </c>
      <c r="H124" s="7" t="s">
        <v>756</v>
      </c>
      <c r="I124" s="8" t="s">
        <v>39</v>
      </c>
      <c r="J124" s="8" t="s">
        <v>40</v>
      </c>
      <c r="K124" s="8" t="s">
        <v>40</v>
      </c>
      <c r="L124" s="7" t="s">
        <v>41</v>
      </c>
      <c r="M124" s="7" t="s">
        <v>41</v>
      </c>
      <c r="N124" s="7" t="s">
        <v>41</v>
      </c>
    </row>
    <row r="125" ht="36" customHeight="1" spans="1:14" x14ac:dyDescent="0.25">
      <c r="A125" s="9" t="s">
        <v>757</v>
      </c>
      <c r="B125" s="9" t="s">
        <v>737</v>
      </c>
      <c r="C125" s="9" t="s">
        <v>758</v>
      </c>
      <c r="D125" s="9" t="s">
        <v>759</v>
      </c>
      <c r="E125" s="9" t="s">
        <v>760</v>
      </c>
      <c r="F125" s="9" t="s">
        <v>229</v>
      </c>
      <c r="G125" s="9" t="s">
        <v>761</v>
      </c>
      <c r="H125" s="9" t="s">
        <v>762</v>
      </c>
      <c r="I125" s="8" t="s">
        <v>39</v>
      </c>
      <c r="J125" s="8" t="s">
        <v>40</v>
      </c>
      <c r="K125" s="8" t="s">
        <v>40</v>
      </c>
      <c r="L125" s="7" t="s">
        <v>41</v>
      </c>
      <c r="M125" s="7" t="s">
        <v>41</v>
      </c>
      <c r="N125" s="7" t="s">
        <v>41</v>
      </c>
    </row>
    <row r="126" ht="36" customHeight="1" spans="1:14" x14ac:dyDescent="0.25">
      <c r="A126" s="7" t="s">
        <v>763</v>
      </c>
      <c r="B126" s="7" t="s">
        <v>737</v>
      </c>
      <c r="C126" s="7" t="s">
        <v>764</v>
      </c>
      <c r="D126" s="7" t="s">
        <v>765</v>
      </c>
      <c r="E126" s="7" t="s">
        <v>766</v>
      </c>
      <c r="F126" s="7" t="s">
        <v>767</v>
      </c>
      <c r="G126" s="7" t="s">
        <v>768</v>
      </c>
      <c r="H126" s="7" t="s">
        <v>769</v>
      </c>
      <c r="I126" s="8" t="s">
        <v>39</v>
      </c>
      <c r="J126" s="8" t="s">
        <v>40</v>
      </c>
      <c r="K126" s="8" t="s">
        <v>40</v>
      </c>
      <c r="L126" s="7" t="s">
        <v>41</v>
      </c>
      <c r="M126" s="7" t="s">
        <v>41</v>
      </c>
      <c r="N126" s="7" t="s">
        <v>41</v>
      </c>
    </row>
  </sheetData>
  <autoFilter ref="A1:N1"/>
  <conditionalFormatting sqref="I2:I126">
    <cfRule type="containsText" dxfId="0" priority="1">
      <formula>NOT(ISERROR(SEARCH("Pass",I2)))</formula>
    </cfRule>
    <cfRule type="containsText" dxfId="1" priority="2">
      <formula>NOT(ISERROR(SEARCH("Fail",I2)))</formula>
    </cfRule>
    <cfRule type="containsText" dxfId="2" priority="3">
      <formula>NOT(ISERROR(SEARCH("Blocked",I2)))</formula>
    </cfRule>
  </conditionalFormatting>
  <conditionalFormatting sqref="J2:J126">
    <cfRule type="containsText" dxfId="3" priority="1">
      <formula>NOT(ISERROR(SEARCH("☑",J2)))</formula>
    </cfRule>
  </conditionalFormatting>
  <conditionalFormatting sqref="K2:K126">
    <cfRule type="containsText" dxfId="4" priority="1">
      <formula>NOT(ISERROR(SEARCH("☑",K2)))</formula>
    </cfRule>
  </conditionalFormatting>
  <dataValidations count="4">
    <dataValidation type="list" allowBlank="1" showErrorMessage="1" errorStyle="stop" errorTitle="Invalid value" error="Pick a value from the dropdown." sqref="I10:I126">
      <formula1>"Not Run,Pass,Fail,Blocked"</formula1>
    </dataValidation>
    <dataValidation type="list" allowBlank="1" showErrorMessage="1" errorStyle="stop" errorTitle="Invalid value" error="Pick a value from the dropdown." sqref="I2:I126">
      <formula1>"Not Run,Pass,Fail,Blocked"</formula1>
    </dataValidation>
    <dataValidation type="list" allowBlank="1" showErrorMessage="1" errorStyle="stop" errorTitle="Invalid value" error="Pick a value from the dropdown." sqref="J10:K126">
      <formula1>"☐,☑"</formula1>
    </dataValidation>
    <dataValidation type="list" allowBlank="1" showErrorMessage="1" errorStyle="stop" errorTitle="Invalid value" error="Pick a value from the dropdown." sqref="J2:K126">
      <formula1>"☐,☑"</formula1>
    </dataValidation>
  </dataValidations>
  <pageSetup paperSize="9" orientation="landscape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59669"/>
    <pageSetUpPr fitToPage="1"/>
  </sheetPr>
  <dimension ref="A1:N255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42" customWidth="1"/>
    <col min="4" max="4" width="18" customWidth="1"/>
    <col min="5" max="5" width="32" customWidth="1"/>
    <col min="6" max="6" width="40" customWidth="1"/>
    <col min="7" max="7" width="44" customWidth="1"/>
    <col min="8" max="8" width="36" customWidth="1"/>
    <col min="9" max="11" width="12" customWidth="1"/>
    <col min="12" max="12" width="28" customWidth="1"/>
    <col min="13" max="14" width="14" customWidth="1"/>
  </cols>
  <sheetData>
    <row r="1" ht="22" customHeight="1" spans="1:14" s="5" customFormat="1" x14ac:dyDescent="0.25">
      <c r="A1" s="6" t="s">
        <v>19</v>
      </c>
      <c r="B1" s="6" t="s">
        <v>20</v>
      </c>
      <c r="C1" s="6" t="s">
        <v>21</v>
      </c>
      <c r="D1" s="6" t="s">
        <v>22</v>
      </c>
      <c r="E1" s="6" t="s">
        <v>23</v>
      </c>
      <c r="F1" s="6" t="s">
        <v>24</v>
      </c>
      <c r="G1" s="6" t="s">
        <v>25</v>
      </c>
      <c r="H1" s="6" t="s">
        <v>26</v>
      </c>
      <c r="I1" s="6" t="s">
        <v>27</v>
      </c>
      <c r="J1" s="6" t="s">
        <v>5</v>
      </c>
      <c r="K1" s="6" t="s">
        <v>7</v>
      </c>
      <c r="L1" s="6" t="s">
        <v>28</v>
      </c>
      <c r="M1" s="6" t="s">
        <v>29</v>
      </c>
      <c r="N1" s="6" t="s">
        <v>30</v>
      </c>
    </row>
    <row r="2" ht="36" customHeight="1" spans="1:14" x14ac:dyDescent="0.25">
      <c r="A2" s="7" t="s">
        <v>770</v>
      </c>
      <c r="B2" s="7" t="s">
        <v>771</v>
      </c>
      <c r="C2" s="7" t="s">
        <v>772</v>
      </c>
      <c r="D2" s="7" t="s">
        <v>220</v>
      </c>
      <c r="E2" s="7" t="s">
        <v>204</v>
      </c>
      <c r="F2" s="7" t="s">
        <v>773</v>
      </c>
      <c r="G2" s="7" t="s">
        <v>94</v>
      </c>
      <c r="H2" s="7" t="s">
        <v>95</v>
      </c>
      <c r="I2" s="8" t="s">
        <v>39</v>
      </c>
      <c r="J2" s="8" t="s">
        <v>40</v>
      </c>
      <c r="K2" s="8" t="s">
        <v>40</v>
      </c>
      <c r="L2" s="7" t="s">
        <v>41</v>
      </c>
      <c r="M2" s="7" t="s">
        <v>41</v>
      </c>
      <c r="N2" s="7" t="s">
        <v>41</v>
      </c>
    </row>
    <row r="3" ht="36" customHeight="1" spans="1:14" x14ac:dyDescent="0.25">
      <c r="A3" s="9" t="s">
        <v>774</v>
      </c>
      <c r="B3" s="9" t="s">
        <v>771</v>
      </c>
      <c r="C3" s="9" t="s">
        <v>775</v>
      </c>
      <c r="D3" s="9" t="s">
        <v>34</v>
      </c>
      <c r="E3" s="9" t="s">
        <v>204</v>
      </c>
      <c r="F3" s="9" t="s">
        <v>107</v>
      </c>
      <c r="G3" s="9" t="s">
        <v>776</v>
      </c>
      <c r="H3" s="9" t="s">
        <v>109</v>
      </c>
      <c r="I3" s="8" t="s">
        <v>39</v>
      </c>
      <c r="J3" s="8" t="s">
        <v>40</v>
      </c>
      <c r="K3" s="8" t="s">
        <v>40</v>
      </c>
      <c r="L3" s="7" t="s">
        <v>41</v>
      </c>
      <c r="M3" s="7" t="s">
        <v>41</v>
      </c>
      <c r="N3" s="7" t="s">
        <v>41</v>
      </c>
    </row>
    <row r="4" ht="36" customHeight="1" spans="1:14" x14ac:dyDescent="0.25">
      <c r="A4" s="7" t="s">
        <v>777</v>
      </c>
      <c r="B4" s="7" t="s">
        <v>771</v>
      </c>
      <c r="C4" s="7" t="s">
        <v>778</v>
      </c>
      <c r="D4" s="7" t="s">
        <v>269</v>
      </c>
      <c r="E4" s="7" t="s">
        <v>779</v>
      </c>
      <c r="F4" s="7" t="s">
        <v>482</v>
      </c>
      <c r="G4" s="7" t="s">
        <v>780</v>
      </c>
      <c r="H4" s="7" t="s">
        <v>781</v>
      </c>
      <c r="I4" s="8" t="s">
        <v>39</v>
      </c>
      <c r="J4" s="8" t="s">
        <v>40</v>
      </c>
      <c r="K4" s="8" t="s">
        <v>40</v>
      </c>
      <c r="L4" s="7" t="s">
        <v>41</v>
      </c>
      <c r="M4" s="7" t="s">
        <v>41</v>
      </c>
      <c r="N4" s="7" t="s">
        <v>41</v>
      </c>
    </row>
    <row r="5" ht="36" customHeight="1" spans="1:14" x14ac:dyDescent="0.25">
      <c r="A5" s="9" t="s">
        <v>782</v>
      </c>
      <c r="B5" s="9" t="s">
        <v>771</v>
      </c>
      <c r="C5" s="9" t="s">
        <v>385</v>
      </c>
      <c r="D5" s="9" t="s">
        <v>399</v>
      </c>
      <c r="E5" s="9" t="s">
        <v>783</v>
      </c>
      <c r="F5" s="9" t="s">
        <v>784</v>
      </c>
      <c r="G5" s="9" t="s">
        <v>785</v>
      </c>
      <c r="H5" s="9" t="s">
        <v>383</v>
      </c>
      <c r="I5" s="8" t="s">
        <v>39</v>
      </c>
      <c r="J5" s="8" t="s">
        <v>40</v>
      </c>
      <c r="K5" s="8" t="s">
        <v>40</v>
      </c>
      <c r="L5" s="7" t="s">
        <v>41</v>
      </c>
      <c r="M5" s="7" t="s">
        <v>41</v>
      </c>
      <c r="N5" s="7" t="s">
        <v>41</v>
      </c>
    </row>
    <row r="6" ht="36" customHeight="1" spans="1:14" x14ac:dyDescent="0.25">
      <c r="A6" s="7" t="s">
        <v>786</v>
      </c>
      <c r="B6" s="7" t="s">
        <v>771</v>
      </c>
      <c r="C6" s="7" t="s">
        <v>787</v>
      </c>
      <c r="D6" s="7" t="s">
        <v>399</v>
      </c>
      <c r="E6" s="7" t="s">
        <v>788</v>
      </c>
      <c r="F6" s="7" t="s">
        <v>784</v>
      </c>
      <c r="G6" s="7" t="s">
        <v>789</v>
      </c>
      <c r="H6" s="7" t="s">
        <v>790</v>
      </c>
      <c r="I6" s="8" t="s">
        <v>39</v>
      </c>
      <c r="J6" s="8" t="s">
        <v>40</v>
      </c>
      <c r="K6" s="8" t="s">
        <v>40</v>
      </c>
      <c r="L6" s="7" t="s">
        <v>41</v>
      </c>
      <c r="M6" s="7" t="s">
        <v>41</v>
      </c>
      <c r="N6" s="7" t="s">
        <v>41</v>
      </c>
    </row>
    <row r="7" ht="36" customHeight="1" spans="1:14" x14ac:dyDescent="0.25">
      <c r="A7" s="9" t="s">
        <v>791</v>
      </c>
      <c r="B7" s="9" t="s">
        <v>771</v>
      </c>
      <c r="C7" s="9" t="s">
        <v>792</v>
      </c>
      <c r="D7" s="9" t="s">
        <v>399</v>
      </c>
      <c r="E7" s="9" t="s">
        <v>475</v>
      </c>
      <c r="F7" s="9" t="s">
        <v>793</v>
      </c>
      <c r="G7" s="9" t="s">
        <v>794</v>
      </c>
      <c r="H7" s="9" t="s">
        <v>795</v>
      </c>
      <c r="I7" s="8" t="s">
        <v>39</v>
      </c>
      <c r="J7" s="8" t="s">
        <v>40</v>
      </c>
      <c r="K7" s="8" t="s">
        <v>40</v>
      </c>
      <c r="L7" s="7" t="s">
        <v>41</v>
      </c>
      <c r="M7" s="7" t="s">
        <v>41</v>
      </c>
      <c r="N7" s="7" t="s">
        <v>41</v>
      </c>
    </row>
    <row r="8" ht="36" customHeight="1" spans="1:14" x14ac:dyDescent="0.25">
      <c r="A8" s="7" t="s">
        <v>796</v>
      </c>
      <c r="B8" s="7" t="s">
        <v>771</v>
      </c>
      <c r="C8" s="7" t="s">
        <v>797</v>
      </c>
      <c r="D8" s="7" t="s">
        <v>354</v>
      </c>
      <c r="E8" s="7" t="s">
        <v>798</v>
      </c>
      <c r="F8" s="7" t="s">
        <v>799</v>
      </c>
      <c r="G8" s="7" t="s">
        <v>800</v>
      </c>
      <c r="H8" s="7" t="s">
        <v>801</v>
      </c>
      <c r="I8" s="8" t="s">
        <v>39</v>
      </c>
      <c r="J8" s="8" t="s">
        <v>40</v>
      </c>
      <c r="K8" s="8" t="s">
        <v>40</v>
      </c>
      <c r="L8" s="7" t="s">
        <v>41</v>
      </c>
      <c r="M8" s="7" t="s">
        <v>41</v>
      </c>
      <c r="N8" s="7" t="s">
        <v>41</v>
      </c>
    </row>
    <row r="9" ht="36" customHeight="1" spans="1:14" x14ac:dyDescent="0.25">
      <c r="A9" s="9" t="s">
        <v>802</v>
      </c>
      <c r="B9" s="9" t="s">
        <v>771</v>
      </c>
      <c r="C9" s="9" t="s">
        <v>803</v>
      </c>
      <c r="D9" s="9" t="s">
        <v>51</v>
      </c>
      <c r="E9" s="9" t="s">
        <v>804</v>
      </c>
      <c r="F9" s="9" t="s">
        <v>805</v>
      </c>
      <c r="G9" s="9" t="s">
        <v>806</v>
      </c>
      <c r="H9" s="9" t="s">
        <v>807</v>
      </c>
      <c r="I9" s="8" t="s">
        <v>39</v>
      </c>
      <c r="J9" s="8" t="s">
        <v>40</v>
      </c>
      <c r="K9" s="8" t="s">
        <v>40</v>
      </c>
      <c r="L9" s="7" t="s">
        <v>41</v>
      </c>
      <c r="M9" s="7" t="s">
        <v>41</v>
      </c>
      <c r="N9" s="7" t="s">
        <v>41</v>
      </c>
    </row>
    <row r="10" ht="36" customHeight="1" spans="1:14" x14ac:dyDescent="0.25">
      <c r="A10" s="7" t="s">
        <v>808</v>
      </c>
      <c r="B10" s="7" t="s">
        <v>771</v>
      </c>
      <c r="C10" s="7" t="s">
        <v>809</v>
      </c>
      <c r="D10" s="7" t="s">
        <v>810</v>
      </c>
      <c r="E10" s="7" t="s">
        <v>811</v>
      </c>
      <c r="F10" s="7" t="s">
        <v>812</v>
      </c>
      <c r="G10" s="7" t="s">
        <v>813</v>
      </c>
      <c r="H10" s="7" t="s">
        <v>814</v>
      </c>
      <c r="I10" s="8" t="s">
        <v>39</v>
      </c>
      <c r="J10" s="8" t="s">
        <v>40</v>
      </c>
      <c r="K10" s="8" t="s">
        <v>40</v>
      </c>
      <c r="L10" s="7" t="s">
        <v>41</v>
      </c>
      <c r="M10" s="7" t="s">
        <v>41</v>
      </c>
      <c r="N10" s="7" t="s">
        <v>41</v>
      </c>
    </row>
    <row r="11" ht="36" customHeight="1" spans="1:14" x14ac:dyDescent="0.25">
      <c r="A11" s="9" t="s">
        <v>815</v>
      </c>
      <c r="B11" s="9" t="s">
        <v>771</v>
      </c>
      <c r="C11" s="9" t="s">
        <v>816</v>
      </c>
      <c r="D11" s="9" t="s">
        <v>405</v>
      </c>
      <c r="E11" s="9" t="s">
        <v>405</v>
      </c>
      <c r="F11" s="9" t="s">
        <v>817</v>
      </c>
      <c r="G11" s="9" t="s">
        <v>818</v>
      </c>
      <c r="H11" s="9" t="s">
        <v>575</v>
      </c>
      <c r="I11" s="8" t="s">
        <v>39</v>
      </c>
      <c r="J11" s="8" t="s">
        <v>40</v>
      </c>
      <c r="K11" s="8" t="s">
        <v>40</v>
      </c>
      <c r="L11" s="7" t="s">
        <v>41</v>
      </c>
      <c r="M11" s="7" t="s">
        <v>41</v>
      </c>
      <c r="N11" s="7" t="s">
        <v>41</v>
      </c>
    </row>
    <row r="12" ht="36" customHeight="1" spans="1:14" x14ac:dyDescent="0.25">
      <c r="A12" s="7" t="s">
        <v>819</v>
      </c>
      <c r="B12" s="7" t="s">
        <v>771</v>
      </c>
      <c r="C12" s="7" t="s">
        <v>820</v>
      </c>
      <c r="D12" s="7" t="s">
        <v>821</v>
      </c>
      <c r="E12" s="7" t="s">
        <v>822</v>
      </c>
      <c r="F12" s="7" t="s">
        <v>823</v>
      </c>
      <c r="G12" s="7" t="s">
        <v>824</v>
      </c>
      <c r="H12" s="7" t="s">
        <v>825</v>
      </c>
      <c r="I12" s="8" t="s">
        <v>39</v>
      </c>
      <c r="J12" s="8" t="s">
        <v>40</v>
      </c>
      <c r="K12" s="8" t="s">
        <v>40</v>
      </c>
      <c r="L12" s="7" t="s">
        <v>41</v>
      </c>
      <c r="M12" s="7" t="s">
        <v>41</v>
      </c>
      <c r="N12" s="7" t="s">
        <v>41</v>
      </c>
    </row>
    <row r="13" ht="36" customHeight="1" spans="1:14" x14ac:dyDescent="0.25">
      <c r="A13" s="9" t="s">
        <v>826</v>
      </c>
      <c r="B13" s="9" t="s">
        <v>771</v>
      </c>
      <c r="C13" s="9" t="s">
        <v>827</v>
      </c>
      <c r="D13" s="9" t="s">
        <v>220</v>
      </c>
      <c r="E13" s="9" t="s">
        <v>204</v>
      </c>
      <c r="F13" s="9" t="s">
        <v>828</v>
      </c>
      <c r="G13" s="9" t="s">
        <v>829</v>
      </c>
      <c r="H13" s="9" t="s">
        <v>830</v>
      </c>
      <c r="I13" s="8" t="s">
        <v>39</v>
      </c>
      <c r="J13" s="8" t="s">
        <v>40</v>
      </c>
      <c r="K13" s="8" t="s">
        <v>40</v>
      </c>
      <c r="L13" s="7" t="s">
        <v>41</v>
      </c>
      <c r="M13" s="7" t="s">
        <v>41</v>
      </c>
      <c r="N13" s="7" t="s">
        <v>41</v>
      </c>
    </row>
    <row r="14" ht="36" customHeight="1" spans="1:14" x14ac:dyDescent="0.25">
      <c r="A14" s="7" t="s">
        <v>831</v>
      </c>
      <c r="B14" s="7" t="s">
        <v>771</v>
      </c>
      <c r="C14" s="7" t="s">
        <v>832</v>
      </c>
      <c r="D14" s="7" t="s">
        <v>220</v>
      </c>
      <c r="E14" s="7" t="s">
        <v>833</v>
      </c>
      <c r="F14" s="7" t="s">
        <v>834</v>
      </c>
      <c r="G14" s="7" t="s">
        <v>835</v>
      </c>
      <c r="H14" s="7" t="s">
        <v>836</v>
      </c>
      <c r="I14" s="8" t="s">
        <v>39</v>
      </c>
      <c r="J14" s="8" t="s">
        <v>40</v>
      </c>
      <c r="K14" s="8" t="s">
        <v>40</v>
      </c>
      <c r="L14" s="7" t="s">
        <v>41</v>
      </c>
      <c r="M14" s="7" t="s">
        <v>41</v>
      </c>
      <c r="N14" s="7" t="s">
        <v>41</v>
      </c>
    </row>
    <row r="15" ht="36" customHeight="1" spans="1:14" x14ac:dyDescent="0.25">
      <c r="A15" s="9" t="s">
        <v>837</v>
      </c>
      <c r="B15" s="9" t="s">
        <v>771</v>
      </c>
      <c r="C15" s="9" t="s">
        <v>838</v>
      </c>
      <c r="D15" s="9" t="s">
        <v>220</v>
      </c>
      <c r="E15" s="9" t="s">
        <v>839</v>
      </c>
      <c r="F15" s="9" t="s">
        <v>840</v>
      </c>
      <c r="G15" s="9" t="s">
        <v>841</v>
      </c>
      <c r="H15" s="9" t="s">
        <v>842</v>
      </c>
      <c r="I15" s="8" t="s">
        <v>39</v>
      </c>
      <c r="J15" s="8" t="s">
        <v>40</v>
      </c>
      <c r="K15" s="8" t="s">
        <v>40</v>
      </c>
      <c r="L15" s="7" t="s">
        <v>41</v>
      </c>
      <c r="M15" s="7" t="s">
        <v>41</v>
      </c>
      <c r="N15" s="7" t="s">
        <v>41</v>
      </c>
    </row>
    <row r="16" ht="36" customHeight="1" spans="1:14" x14ac:dyDescent="0.25">
      <c r="A16" s="7" t="s">
        <v>843</v>
      </c>
      <c r="B16" s="7" t="s">
        <v>844</v>
      </c>
      <c r="C16" s="7" t="s">
        <v>845</v>
      </c>
      <c r="D16" s="7" t="s">
        <v>220</v>
      </c>
      <c r="E16" s="7" t="s">
        <v>204</v>
      </c>
      <c r="F16" s="7" t="s">
        <v>834</v>
      </c>
      <c r="G16" s="7" t="s">
        <v>846</v>
      </c>
      <c r="H16" s="7" t="s">
        <v>847</v>
      </c>
      <c r="I16" s="8" t="s">
        <v>39</v>
      </c>
      <c r="J16" s="8" t="s">
        <v>40</v>
      </c>
      <c r="K16" s="8" t="s">
        <v>40</v>
      </c>
      <c r="L16" s="7" t="s">
        <v>41</v>
      </c>
      <c r="M16" s="7" t="s">
        <v>41</v>
      </c>
      <c r="N16" s="7" t="s">
        <v>41</v>
      </c>
    </row>
    <row r="17" ht="36" customHeight="1" spans="1:14" x14ac:dyDescent="0.25">
      <c r="A17" s="9" t="s">
        <v>848</v>
      </c>
      <c r="B17" s="9" t="s">
        <v>844</v>
      </c>
      <c r="C17" s="9" t="s">
        <v>849</v>
      </c>
      <c r="D17" s="9" t="s">
        <v>220</v>
      </c>
      <c r="E17" s="9" t="s">
        <v>204</v>
      </c>
      <c r="F17" s="9" t="s">
        <v>850</v>
      </c>
      <c r="G17" s="9" t="s">
        <v>851</v>
      </c>
      <c r="H17" s="9" t="s">
        <v>852</v>
      </c>
      <c r="I17" s="8" t="s">
        <v>39</v>
      </c>
      <c r="J17" s="8" t="s">
        <v>40</v>
      </c>
      <c r="K17" s="8" t="s">
        <v>40</v>
      </c>
      <c r="L17" s="7" t="s">
        <v>41</v>
      </c>
      <c r="M17" s="7" t="s">
        <v>41</v>
      </c>
      <c r="N17" s="7" t="s">
        <v>41</v>
      </c>
    </row>
    <row r="18" ht="36" customHeight="1" spans="1:14" x14ac:dyDescent="0.25">
      <c r="A18" s="7" t="s">
        <v>853</v>
      </c>
      <c r="B18" s="7" t="s">
        <v>844</v>
      </c>
      <c r="C18" s="7" t="s">
        <v>854</v>
      </c>
      <c r="D18" s="7" t="s">
        <v>220</v>
      </c>
      <c r="E18" s="7" t="s">
        <v>204</v>
      </c>
      <c r="F18" s="7" t="s">
        <v>855</v>
      </c>
      <c r="G18" s="7" t="s">
        <v>856</v>
      </c>
      <c r="H18" s="7" t="s">
        <v>790</v>
      </c>
      <c r="I18" s="8" t="s">
        <v>39</v>
      </c>
      <c r="J18" s="8" t="s">
        <v>40</v>
      </c>
      <c r="K18" s="8" t="s">
        <v>40</v>
      </c>
      <c r="L18" s="7" t="s">
        <v>41</v>
      </c>
      <c r="M18" s="7" t="s">
        <v>41</v>
      </c>
      <c r="N18" s="7" t="s">
        <v>41</v>
      </c>
    </row>
    <row r="19" ht="36" customHeight="1" spans="1:14" x14ac:dyDescent="0.25">
      <c r="A19" s="9" t="s">
        <v>857</v>
      </c>
      <c r="B19" s="9" t="s">
        <v>844</v>
      </c>
      <c r="C19" s="9" t="s">
        <v>858</v>
      </c>
      <c r="D19" s="9" t="s">
        <v>220</v>
      </c>
      <c r="E19" s="9" t="s">
        <v>204</v>
      </c>
      <c r="F19" s="9" t="s">
        <v>859</v>
      </c>
      <c r="G19" s="9" t="s">
        <v>860</v>
      </c>
      <c r="H19" s="9" t="s">
        <v>861</v>
      </c>
      <c r="I19" s="8" t="s">
        <v>39</v>
      </c>
      <c r="J19" s="8" t="s">
        <v>40</v>
      </c>
      <c r="K19" s="8" t="s">
        <v>40</v>
      </c>
      <c r="L19" s="7" t="s">
        <v>41</v>
      </c>
      <c r="M19" s="7" t="s">
        <v>41</v>
      </c>
      <c r="N19" s="7" t="s">
        <v>41</v>
      </c>
    </row>
    <row r="20" ht="36" customHeight="1" spans="1:14" x14ac:dyDescent="0.25">
      <c r="A20" s="7" t="s">
        <v>862</v>
      </c>
      <c r="B20" s="7" t="s">
        <v>844</v>
      </c>
      <c r="C20" s="7" t="s">
        <v>863</v>
      </c>
      <c r="D20" s="7" t="s">
        <v>220</v>
      </c>
      <c r="E20" s="7" t="s">
        <v>204</v>
      </c>
      <c r="F20" s="7" t="s">
        <v>864</v>
      </c>
      <c r="G20" s="7" t="s">
        <v>865</v>
      </c>
      <c r="H20" s="7" t="s">
        <v>866</v>
      </c>
      <c r="I20" s="8" t="s">
        <v>39</v>
      </c>
      <c r="J20" s="8" t="s">
        <v>40</v>
      </c>
      <c r="K20" s="8" t="s">
        <v>40</v>
      </c>
      <c r="L20" s="7" t="s">
        <v>41</v>
      </c>
      <c r="M20" s="7" t="s">
        <v>41</v>
      </c>
      <c r="N20" s="7" t="s">
        <v>41</v>
      </c>
    </row>
    <row r="21" ht="36" customHeight="1" spans="1:14" x14ac:dyDescent="0.25">
      <c r="A21" s="9" t="s">
        <v>867</v>
      </c>
      <c r="B21" s="9" t="s">
        <v>844</v>
      </c>
      <c r="C21" s="9" t="s">
        <v>868</v>
      </c>
      <c r="D21" s="9" t="s">
        <v>220</v>
      </c>
      <c r="E21" s="9" t="s">
        <v>204</v>
      </c>
      <c r="F21" s="9" t="s">
        <v>869</v>
      </c>
      <c r="G21" s="9" t="s">
        <v>870</v>
      </c>
      <c r="H21" s="9" t="s">
        <v>871</v>
      </c>
      <c r="I21" s="8" t="s">
        <v>39</v>
      </c>
      <c r="J21" s="8" t="s">
        <v>40</v>
      </c>
      <c r="K21" s="8" t="s">
        <v>40</v>
      </c>
      <c r="L21" s="7" t="s">
        <v>41</v>
      </c>
      <c r="M21" s="7" t="s">
        <v>41</v>
      </c>
      <c r="N21" s="7" t="s">
        <v>41</v>
      </c>
    </row>
    <row r="22" ht="36" customHeight="1" spans="1:14" x14ac:dyDescent="0.25">
      <c r="A22" s="7" t="s">
        <v>872</v>
      </c>
      <c r="B22" s="7" t="s">
        <v>844</v>
      </c>
      <c r="C22" s="7" t="s">
        <v>873</v>
      </c>
      <c r="D22" s="7" t="s">
        <v>220</v>
      </c>
      <c r="E22" s="7" t="s">
        <v>204</v>
      </c>
      <c r="F22" s="7" t="s">
        <v>874</v>
      </c>
      <c r="G22" s="7" t="s">
        <v>875</v>
      </c>
      <c r="H22" s="7" t="s">
        <v>876</v>
      </c>
      <c r="I22" s="8" t="s">
        <v>39</v>
      </c>
      <c r="J22" s="8" t="s">
        <v>40</v>
      </c>
      <c r="K22" s="8" t="s">
        <v>40</v>
      </c>
      <c r="L22" s="7" t="s">
        <v>41</v>
      </c>
      <c r="M22" s="7" t="s">
        <v>41</v>
      </c>
      <c r="N22" s="7" t="s">
        <v>41</v>
      </c>
    </row>
    <row r="23" ht="36" customHeight="1" spans="1:14" x14ac:dyDescent="0.25">
      <c r="A23" s="9" t="s">
        <v>877</v>
      </c>
      <c r="B23" s="9" t="s">
        <v>844</v>
      </c>
      <c r="C23" s="9" t="s">
        <v>878</v>
      </c>
      <c r="D23" s="9" t="s">
        <v>220</v>
      </c>
      <c r="E23" s="9" t="s">
        <v>204</v>
      </c>
      <c r="F23" s="9" t="s">
        <v>879</v>
      </c>
      <c r="G23" s="9" t="s">
        <v>880</v>
      </c>
      <c r="H23" s="9" t="s">
        <v>881</v>
      </c>
      <c r="I23" s="8" t="s">
        <v>39</v>
      </c>
      <c r="J23" s="8" t="s">
        <v>40</v>
      </c>
      <c r="K23" s="8" t="s">
        <v>40</v>
      </c>
      <c r="L23" s="7" t="s">
        <v>41</v>
      </c>
      <c r="M23" s="7" t="s">
        <v>41</v>
      </c>
      <c r="N23" s="7" t="s">
        <v>41</v>
      </c>
    </row>
    <row r="24" ht="36" customHeight="1" spans="1:14" x14ac:dyDescent="0.25">
      <c r="A24" s="7" t="s">
        <v>882</v>
      </c>
      <c r="B24" s="7" t="s">
        <v>844</v>
      </c>
      <c r="C24" s="7" t="s">
        <v>883</v>
      </c>
      <c r="D24" s="7" t="s">
        <v>220</v>
      </c>
      <c r="E24" s="7" t="s">
        <v>204</v>
      </c>
      <c r="F24" s="7" t="s">
        <v>884</v>
      </c>
      <c r="G24" s="7" t="s">
        <v>885</v>
      </c>
      <c r="H24" s="7" t="s">
        <v>886</v>
      </c>
      <c r="I24" s="8" t="s">
        <v>39</v>
      </c>
      <c r="J24" s="8" t="s">
        <v>40</v>
      </c>
      <c r="K24" s="8" t="s">
        <v>40</v>
      </c>
      <c r="L24" s="7" t="s">
        <v>41</v>
      </c>
      <c r="M24" s="7" t="s">
        <v>41</v>
      </c>
      <c r="N24" s="7" t="s">
        <v>41</v>
      </c>
    </row>
    <row r="25" ht="36" customHeight="1" spans="1:14" x14ac:dyDescent="0.25">
      <c r="A25" s="9" t="s">
        <v>887</v>
      </c>
      <c r="B25" s="9" t="s">
        <v>888</v>
      </c>
      <c r="C25" s="9" t="s">
        <v>889</v>
      </c>
      <c r="D25" s="9" t="s">
        <v>91</v>
      </c>
      <c r="E25" s="9" t="s">
        <v>890</v>
      </c>
      <c r="F25" s="9" t="s">
        <v>100</v>
      </c>
      <c r="G25" s="9" t="s">
        <v>891</v>
      </c>
      <c r="H25" s="9" t="s">
        <v>892</v>
      </c>
      <c r="I25" s="8" t="s">
        <v>39</v>
      </c>
      <c r="J25" s="8" t="s">
        <v>40</v>
      </c>
      <c r="K25" s="8" t="s">
        <v>40</v>
      </c>
      <c r="L25" s="7" t="s">
        <v>41</v>
      </c>
      <c r="M25" s="7" t="s">
        <v>41</v>
      </c>
      <c r="N25" s="7" t="s">
        <v>41</v>
      </c>
    </row>
    <row r="26" ht="36" customHeight="1" spans="1:14" x14ac:dyDescent="0.25">
      <c r="A26" s="7" t="s">
        <v>893</v>
      </c>
      <c r="B26" s="7" t="s">
        <v>888</v>
      </c>
      <c r="C26" s="7" t="s">
        <v>43</v>
      </c>
      <c r="D26" s="7" t="s">
        <v>91</v>
      </c>
      <c r="E26" s="7" t="s">
        <v>45</v>
      </c>
      <c r="F26" s="7" t="s">
        <v>894</v>
      </c>
      <c r="G26" s="7" t="s">
        <v>895</v>
      </c>
      <c r="H26" s="7" t="s">
        <v>896</v>
      </c>
      <c r="I26" s="8" t="s">
        <v>39</v>
      </c>
      <c r="J26" s="8" t="s">
        <v>40</v>
      </c>
      <c r="K26" s="8" t="s">
        <v>40</v>
      </c>
      <c r="L26" s="7" t="s">
        <v>41</v>
      </c>
      <c r="M26" s="7" t="s">
        <v>41</v>
      </c>
      <c r="N26" s="7" t="s">
        <v>41</v>
      </c>
    </row>
    <row r="27" ht="36" customHeight="1" spans="1:14" x14ac:dyDescent="0.25">
      <c r="A27" s="9" t="s">
        <v>897</v>
      </c>
      <c r="B27" s="9" t="s">
        <v>888</v>
      </c>
      <c r="C27" s="9" t="s">
        <v>898</v>
      </c>
      <c r="D27" s="9" t="s">
        <v>220</v>
      </c>
      <c r="E27" s="9" t="s">
        <v>204</v>
      </c>
      <c r="F27" s="9" t="s">
        <v>899</v>
      </c>
      <c r="G27" s="9" t="s">
        <v>900</v>
      </c>
      <c r="H27" s="9" t="s">
        <v>901</v>
      </c>
      <c r="I27" s="8" t="s">
        <v>39</v>
      </c>
      <c r="J27" s="8" t="s">
        <v>40</v>
      </c>
      <c r="K27" s="8" t="s">
        <v>40</v>
      </c>
      <c r="L27" s="7" t="s">
        <v>41</v>
      </c>
      <c r="M27" s="7" t="s">
        <v>41</v>
      </c>
      <c r="N27" s="7" t="s">
        <v>41</v>
      </c>
    </row>
    <row r="28" ht="36" customHeight="1" spans="1:14" x14ac:dyDescent="0.25">
      <c r="A28" s="7" t="s">
        <v>902</v>
      </c>
      <c r="B28" s="7" t="s">
        <v>888</v>
      </c>
      <c r="C28" s="7" t="s">
        <v>903</v>
      </c>
      <c r="D28" s="7" t="s">
        <v>220</v>
      </c>
      <c r="E28" s="7" t="s">
        <v>204</v>
      </c>
      <c r="F28" s="7" t="s">
        <v>904</v>
      </c>
      <c r="G28" s="7" t="s">
        <v>905</v>
      </c>
      <c r="H28" s="7" t="s">
        <v>906</v>
      </c>
      <c r="I28" s="8" t="s">
        <v>39</v>
      </c>
      <c r="J28" s="8" t="s">
        <v>40</v>
      </c>
      <c r="K28" s="8" t="s">
        <v>40</v>
      </c>
      <c r="L28" s="7" t="s">
        <v>41</v>
      </c>
      <c r="M28" s="7" t="s">
        <v>41</v>
      </c>
      <c r="N28" s="7" t="s">
        <v>41</v>
      </c>
    </row>
    <row r="29" ht="36" customHeight="1" spans="1:14" x14ac:dyDescent="0.25">
      <c r="A29" s="9" t="s">
        <v>907</v>
      </c>
      <c r="B29" s="9" t="s">
        <v>888</v>
      </c>
      <c r="C29" s="9" t="s">
        <v>908</v>
      </c>
      <c r="D29" s="9" t="s">
        <v>91</v>
      </c>
      <c r="E29" s="9" t="s">
        <v>909</v>
      </c>
      <c r="F29" s="9" t="s">
        <v>910</v>
      </c>
      <c r="G29" s="9" t="s">
        <v>911</v>
      </c>
      <c r="H29" s="9" t="s">
        <v>912</v>
      </c>
      <c r="I29" s="8" t="s">
        <v>39</v>
      </c>
      <c r="J29" s="8" t="s">
        <v>40</v>
      </c>
      <c r="K29" s="8" t="s">
        <v>40</v>
      </c>
      <c r="L29" s="7" t="s">
        <v>41</v>
      </c>
      <c r="M29" s="7" t="s">
        <v>41</v>
      </c>
      <c r="N29" s="7" t="s">
        <v>41</v>
      </c>
    </row>
    <row r="30" ht="36" customHeight="1" spans="1:14" x14ac:dyDescent="0.25">
      <c r="A30" s="7" t="s">
        <v>913</v>
      </c>
      <c r="B30" s="7" t="s">
        <v>888</v>
      </c>
      <c r="C30" s="7" t="s">
        <v>914</v>
      </c>
      <c r="D30" s="7" t="s">
        <v>220</v>
      </c>
      <c r="E30" s="7" t="s">
        <v>204</v>
      </c>
      <c r="F30" s="7" t="s">
        <v>910</v>
      </c>
      <c r="G30" s="7" t="s">
        <v>915</v>
      </c>
      <c r="H30" s="7" t="s">
        <v>916</v>
      </c>
      <c r="I30" s="8" t="s">
        <v>39</v>
      </c>
      <c r="J30" s="8" t="s">
        <v>40</v>
      </c>
      <c r="K30" s="8" t="s">
        <v>40</v>
      </c>
      <c r="L30" s="7" t="s">
        <v>41</v>
      </c>
      <c r="M30" s="7" t="s">
        <v>41</v>
      </c>
      <c r="N30" s="7" t="s">
        <v>41</v>
      </c>
    </row>
    <row r="31" ht="36" customHeight="1" spans="1:14" x14ac:dyDescent="0.25">
      <c r="A31" s="9" t="s">
        <v>917</v>
      </c>
      <c r="B31" s="9" t="s">
        <v>888</v>
      </c>
      <c r="C31" s="9" t="s">
        <v>918</v>
      </c>
      <c r="D31" s="9" t="s">
        <v>919</v>
      </c>
      <c r="E31" s="9" t="s">
        <v>204</v>
      </c>
      <c r="F31" s="9" t="s">
        <v>920</v>
      </c>
      <c r="G31" s="9" t="s">
        <v>921</v>
      </c>
      <c r="H31" s="9" t="s">
        <v>922</v>
      </c>
      <c r="I31" s="8" t="s">
        <v>39</v>
      </c>
      <c r="J31" s="8" t="s">
        <v>40</v>
      </c>
      <c r="K31" s="8" t="s">
        <v>40</v>
      </c>
      <c r="L31" s="7" t="s">
        <v>41</v>
      </c>
      <c r="M31" s="7" t="s">
        <v>41</v>
      </c>
      <c r="N31" s="7" t="s">
        <v>41</v>
      </c>
    </row>
    <row r="32" ht="36" customHeight="1" spans="1:14" x14ac:dyDescent="0.25">
      <c r="A32" s="7" t="s">
        <v>923</v>
      </c>
      <c r="B32" s="7" t="s">
        <v>888</v>
      </c>
      <c r="C32" s="7" t="s">
        <v>924</v>
      </c>
      <c r="D32" s="7" t="s">
        <v>919</v>
      </c>
      <c r="E32" s="7" t="s">
        <v>204</v>
      </c>
      <c r="F32" s="7" t="s">
        <v>925</v>
      </c>
      <c r="G32" s="7" t="s">
        <v>926</v>
      </c>
      <c r="H32" s="7" t="s">
        <v>790</v>
      </c>
      <c r="I32" s="8" t="s">
        <v>39</v>
      </c>
      <c r="J32" s="8" t="s">
        <v>40</v>
      </c>
      <c r="K32" s="8" t="s">
        <v>40</v>
      </c>
      <c r="L32" s="7" t="s">
        <v>41</v>
      </c>
      <c r="M32" s="7" t="s">
        <v>41</v>
      </c>
      <c r="N32" s="7" t="s">
        <v>41</v>
      </c>
    </row>
    <row r="33" ht="36" customHeight="1" spans="1:14" x14ac:dyDescent="0.25">
      <c r="A33" s="9" t="s">
        <v>927</v>
      </c>
      <c r="B33" s="9" t="s">
        <v>888</v>
      </c>
      <c r="C33" s="9" t="s">
        <v>928</v>
      </c>
      <c r="D33" s="9" t="s">
        <v>220</v>
      </c>
      <c r="E33" s="9" t="s">
        <v>929</v>
      </c>
      <c r="F33" s="9" t="s">
        <v>930</v>
      </c>
      <c r="G33" s="9" t="s">
        <v>931</v>
      </c>
      <c r="H33" s="9" t="s">
        <v>932</v>
      </c>
      <c r="I33" s="8" t="s">
        <v>39</v>
      </c>
      <c r="J33" s="8" t="s">
        <v>40</v>
      </c>
      <c r="K33" s="8" t="s">
        <v>40</v>
      </c>
      <c r="L33" s="7" t="s">
        <v>41</v>
      </c>
      <c r="M33" s="7" t="s">
        <v>41</v>
      </c>
      <c r="N33" s="7" t="s">
        <v>41</v>
      </c>
    </row>
    <row r="34" ht="36" customHeight="1" spans="1:14" x14ac:dyDescent="0.25">
      <c r="A34" s="7" t="s">
        <v>933</v>
      </c>
      <c r="B34" s="7" t="s">
        <v>888</v>
      </c>
      <c r="C34" s="7" t="s">
        <v>934</v>
      </c>
      <c r="D34" s="7" t="s">
        <v>935</v>
      </c>
      <c r="E34" s="7" t="s">
        <v>936</v>
      </c>
      <c r="F34" s="7" t="s">
        <v>937</v>
      </c>
      <c r="G34" s="7" t="s">
        <v>938</v>
      </c>
      <c r="H34" s="7" t="s">
        <v>939</v>
      </c>
      <c r="I34" s="8" t="s">
        <v>39</v>
      </c>
      <c r="J34" s="8" t="s">
        <v>40</v>
      </c>
      <c r="K34" s="8" t="s">
        <v>40</v>
      </c>
      <c r="L34" s="7" t="s">
        <v>41</v>
      </c>
      <c r="M34" s="7" t="s">
        <v>41</v>
      </c>
      <c r="N34" s="7" t="s">
        <v>41</v>
      </c>
    </row>
    <row r="35" ht="36" customHeight="1" spans="1:14" x14ac:dyDescent="0.25">
      <c r="A35" s="9" t="s">
        <v>940</v>
      </c>
      <c r="B35" s="9" t="s">
        <v>888</v>
      </c>
      <c r="C35" s="9" t="s">
        <v>941</v>
      </c>
      <c r="D35" s="9" t="s">
        <v>942</v>
      </c>
      <c r="E35" s="9" t="s">
        <v>204</v>
      </c>
      <c r="F35" s="9" t="s">
        <v>943</v>
      </c>
      <c r="G35" s="9" t="s">
        <v>944</v>
      </c>
      <c r="H35" s="9" t="s">
        <v>945</v>
      </c>
      <c r="I35" s="8" t="s">
        <v>39</v>
      </c>
      <c r="J35" s="8" t="s">
        <v>40</v>
      </c>
      <c r="K35" s="8" t="s">
        <v>40</v>
      </c>
      <c r="L35" s="7" t="s">
        <v>41</v>
      </c>
      <c r="M35" s="7" t="s">
        <v>41</v>
      </c>
      <c r="N35" s="7" t="s">
        <v>41</v>
      </c>
    </row>
    <row r="36" ht="36" customHeight="1" spans="1:14" x14ac:dyDescent="0.25">
      <c r="A36" s="7" t="s">
        <v>946</v>
      </c>
      <c r="B36" s="7" t="s">
        <v>888</v>
      </c>
      <c r="C36" s="7" t="s">
        <v>947</v>
      </c>
      <c r="D36" s="7" t="s">
        <v>942</v>
      </c>
      <c r="E36" s="7" t="s">
        <v>948</v>
      </c>
      <c r="F36" s="7" t="s">
        <v>949</v>
      </c>
      <c r="G36" s="7" t="s">
        <v>950</v>
      </c>
      <c r="H36" s="7" t="s">
        <v>951</v>
      </c>
      <c r="I36" s="8" t="s">
        <v>39</v>
      </c>
      <c r="J36" s="8" t="s">
        <v>40</v>
      </c>
      <c r="K36" s="8" t="s">
        <v>40</v>
      </c>
      <c r="L36" s="7" t="s">
        <v>41</v>
      </c>
      <c r="M36" s="7" t="s">
        <v>41</v>
      </c>
      <c r="N36" s="7" t="s">
        <v>41</v>
      </c>
    </row>
    <row r="37" ht="36" customHeight="1" spans="1:14" x14ac:dyDescent="0.25">
      <c r="A37" s="9" t="s">
        <v>952</v>
      </c>
      <c r="B37" s="9" t="s">
        <v>888</v>
      </c>
      <c r="C37" s="9" t="s">
        <v>953</v>
      </c>
      <c r="D37" s="9" t="s">
        <v>942</v>
      </c>
      <c r="E37" s="9" t="s">
        <v>954</v>
      </c>
      <c r="F37" s="9" t="s">
        <v>955</v>
      </c>
      <c r="G37" s="9" t="s">
        <v>956</v>
      </c>
      <c r="H37" s="9" t="s">
        <v>957</v>
      </c>
      <c r="I37" s="8" t="s">
        <v>39</v>
      </c>
      <c r="J37" s="8" t="s">
        <v>40</v>
      </c>
      <c r="K37" s="8" t="s">
        <v>40</v>
      </c>
      <c r="L37" s="7" t="s">
        <v>41</v>
      </c>
      <c r="M37" s="7" t="s">
        <v>41</v>
      </c>
      <c r="N37" s="7" t="s">
        <v>41</v>
      </c>
    </row>
    <row r="38" ht="36" customHeight="1" spans="1:14" x14ac:dyDescent="0.25">
      <c r="A38" s="7" t="s">
        <v>958</v>
      </c>
      <c r="B38" s="7" t="s">
        <v>888</v>
      </c>
      <c r="C38" s="7" t="s">
        <v>959</v>
      </c>
      <c r="D38" s="7" t="s">
        <v>942</v>
      </c>
      <c r="E38" s="7" t="s">
        <v>960</v>
      </c>
      <c r="F38" s="7" t="s">
        <v>961</v>
      </c>
      <c r="G38" s="7" t="s">
        <v>962</v>
      </c>
      <c r="H38" s="7" t="s">
        <v>963</v>
      </c>
      <c r="I38" s="8" t="s">
        <v>39</v>
      </c>
      <c r="J38" s="8" t="s">
        <v>40</v>
      </c>
      <c r="K38" s="8" t="s">
        <v>40</v>
      </c>
      <c r="L38" s="7" t="s">
        <v>41</v>
      </c>
      <c r="M38" s="7" t="s">
        <v>41</v>
      </c>
      <c r="N38" s="7" t="s">
        <v>41</v>
      </c>
    </row>
    <row r="39" ht="36" customHeight="1" spans="1:14" x14ac:dyDescent="0.25">
      <c r="A39" s="9" t="s">
        <v>964</v>
      </c>
      <c r="B39" s="9" t="s">
        <v>888</v>
      </c>
      <c r="C39" s="9" t="s">
        <v>965</v>
      </c>
      <c r="D39" s="9" t="s">
        <v>91</v>
      </c>
      <c r="E39" s="9" t="s">
        <v>204</v>
      </c>
      <c r="F39" s="9" t="s">
        <v>966</v>
      </c>
      <c r="G39" s="9" t="s">
        <v>967</v>
      </c>
      <c r="H39" s="9" t="s">
        <v>968</v>
      </c>
      <c r="I39" s="8" t="s">
        <v>39</v>
      </c>
      <c r="J39" s="8" t="s">
        <v>40</v>
      </c>
      <c r="K39" s="8" t="s">
        <v>40</v>
      </c>
      <c r="L39" s="7" t="s">
        <v>41</v>
      </c>
      <c r="M39" s="7" t="s">
        <v>41</v>
      </c>
      <c r="N39" s="7" t="s">
        <v>41</v>
      </c>
    </row>
    <row r="40" ht="36" customHeight="1" spans="1:14" x14ac:dyDescent="0.25">
      <c r="A40" s="7" t="s">
        <v>969</v>
      </c>
      <c r="B40" s="7" t="s">
        <v>888</v>
      </c>
      <c r="C40" s="7" t="s">
        <v>970</v>
      </c>
      <c r="D40" s="7" t="s">
        <v>34</v>
      </c>
      <c r="E40" s="7" t="s">
        <v>79</v>
      </c>
      <c r="F40" s="7" t="s">
        <v>196</v>
      </c>
      <c r="G40" s="7" t="s">
        <v>971</v>
      </c>
      <c r="H40" s="7" t="s">
        <v>972</v>
      </c>
      <c r="I40" s="8" t="s">
        <v>39</v>
      </c>
      <c r="J40" s="8" t="s">
        <v>40</v>
      </c>
      <c r="K40" s="8" t="s">
        <v>40</v>
      </c>
      <c r="L40" s="7" t="s">
        <v>41</v>
      </c>
      <c r="M40" s="7" t="s">
        <v>41</v>
      </c>
      <c r="N40" s="7" t="s">
        <v>41</v>
      </c>
    </row>
    <row r="41" ht="36" customHeight="1" spans="1:14" x14ac:dyDescent="0.25">
      <c r="A41" s="9" t="s">
        <v>973</v>
      </c>
      <c r="B41" s="9" t="s">
        <v>888</v>
      </c>
      <c r="C41" s="9" t="s">
        <v>974</v>
      </c>
      <c r="D41" s="9" t="s">
        <v>975</v>
      </c>
      <c r="E41" s="9" t="s">
        <v>221</v>
      </c>
      <c r="F41" s="9" t="s">
        <v>976</v>
      </c>
      <c r="G41" s="9" t="s">
        <v>977</v>
      </c>
      <c r="H41" s="9" t="s">
        <v>978</v>
      </c>
      <c r="I41" s="8" t="s">
        <v>39</v>
      </c>
      <c r="J41" s="8" t="s">
        <v>40</v>
      </c>
      <c r="K41" s="8" t="s">
        <v>40</v>
      </c>
      <c r="L41" s="7" t="s">
        <v>41</v>
      </c>
      <c r="M41" s="7" t="s">
        <v>41</v>
      </c>
      <c r="N41" s="7" t="s">
        <v>41</v>
      </c>
    </row>
    <row r="42" ht="36" customHeight="1" spans="1:14" x14ac:dyDescent="0.25">
      <c r="A42" s="7" t="s">
        <v>979</v>
      </c>
      <c r="B42" s="7" t="s">
        <v>888</v>
      </c>
      <c r="C42" s="7" t="s">
        <v>980</v>
      </c>
      <c r="D42" s="7" t="s">
        <v>981</v>
      </c>
      <c r="E42" s="7" t="s">
        <v>982</v>
      </c>
      <c r="F42" s="7" t="s">
        <v>983</v>
      </c>
      <c r="G42" s="7" t="s">
        <v>984</v>
      </c>
      <c r="H42" s="7" t="s">
        <v>985</v>
      </c>
      <c r="I42" s="8" t="s">
        <v>39</v>
      </c>
      <c r="J42" s="8" t="s">
        <v>40</v>
      </c>
      <c r="K42" s="8" t="s">
        <v>40</v>
      </c>
      <c r="L42" s="7" t="s">
        <v>41</v>
      </c>
      <c r="M42" s="7" t="s">
        <v>41</v>
      </c>
      <c r="N42" s="7" t="s">
        <v>41</v>
      </c>
    </row>
    <row r="43" ht="36" customHeight="1" spans="1:14" x14ac:dyDescent="0.25">
      <c r="A43" s="9" t="s">
        <v>986</v>
      </c>
      <c r="B43" s="9" t="s">
        <v>888</v>
      </c>
      <c r="C43" s="9" t="s">
        <v>987</v>
      </c>
      <c r="D43" s="9" t="s">
        <v>220</v>
      </c>
      <c r="E43" s="9" t="s">
        <v>988</v>
      </c>
      <c r="F43" s="9" t="s">
        <v>989</v>
      </c>
      <c r="G43" s="9" t="s">
        <v>990</v>
      </c>
      <c r="H43" s="9" t="s">
        <v>991</v>
      </c>
      <c r="I43" s="8" t="s">
        <v>39</v>
      </c>
      <c r="J43" s="8" t="s">
        <v>40</v>
      </c>
      <c r="K43" s="8" t="s">
        <v>40</v>
      </c>
      <c r="L43" s="7" t="s">
        <v>41</v>
      </c>
      <c r="M43" s="7" t="s">
        <v>41</v>
      </c>
      <c r="N43" s="7" t="s">
        <v>41</v>
      </c>
    </row>
    <row r="44" ht="36" customHeight="1" spans="1:14" x14ac:dyDescent="0.25">
      <c r="A44" s="7" t="s">
        <v>992</v>
      </c>
      <c r="B44" s="7" t="s">
        <v>888</v>
      </c>
      <c r="C44" s="7" t="s">
        <v>993</v>
      </c>
      <c r="D44" s="7" t="s">
        <v>34</v>
      </c>
      <c r="E44" s="7" t="s">
        <v>254</v>
      </c>
      <c r="F44" s="7" t="s">
        <v>994</v>
      </c>
      <c r="G44" s="7" t="s">
        <v>995</v>
      </c>
      <c r="H44" s="7" t="s">
        <v>996</v>
      </c>
      <c r="I44" s="8" t="s">
        <v>39</v>
      </c>
      <c r="J44" s="8" t="s">
        <v>40</v>
      </c>
      <c r="K44" s="8" t="s">
        <v>40</v>
      </c>
      <c r="L44" s="7" t="s">
        <v>41</v>
      </c>
      <c r="M44" s="7" t="s">
        <v>41</v>
      </c>
      <c r="N44" s="7" t="s">
        <v>41</v>
      </c>
    </row>
    <row r="45" ht="36" customHeight="1" spans="1:14" x14ac:dyDescent="0.25">
      <c r="A45" s="9" t="s">
        <v>997</v>
      </c>
      <c r="B45" s="9" t="s">
        <v>888</v>
      </c>
      <c r="C45" s="9" t="s">
        <v>998</v>
      </c>
      <c r="D45" s="9" t="s">
        <v>91</v>
      </c>
      <c r="E45" s="9" t="s">
        <v>92</v>
      </c>
      <c r="F45" s="9" t="s">
        <v>998</v>
      </c>
      <c r="G45" s="9" t="s">
        <v>999</v>
      </c>
      <c r="H45" s="9" t="s">
        <v>1000</v>
      </c>
      <c r="I45" s="8" t="s">
        <v>39</v>
      </c>
      <c r="J45" s="8" t="s">
        <v>40</v>
      </c>
      <c r="K45" s="8" t="s">
        <v>40</v>
      </c>
      <c r="L45" s="7" t="s">
        <v>41</v>
      </c>
      <c r="M45" s="7" t="s">
        <v>41</v>
      </c>
      <c r="N45" s="7" t="s">
        <v>41</v>
      </c>
    </row>
    <row r="46" ht="36" customHeight="1" spans="1:14" x14ac:dyDescent="0.25">
      <c r="A46" s="7" t="s">
        <v>1001</v>
      </c>
      <c r="B46" s="7" t="s">
        <v>1002</v>
      </c>
      <c r="C46" s="7" t="s">
        <v>1003</v>
      </c>
      <c r="D46" s="7" t="s">
        <v>34</v>
      </c>
      <c r="E46" s="7" t="s">
        <v>1004</v>
      </c>
      <c r="F46" s="7" t="s">
        <v>812</v>
      </c>
      <c r="G46" s="7" t="s">
        <v>1005</v>
      </c>
      <c r="H46" s="7" t="s">
        <v>1006</v>
      </c>
      <c r="I46" s="8" t="s">
        <v>39</v>
      </c>
      <c r="J46" s="8" t="s">
        <v>40</v>
      </c>
      <c r="K46" s="8" t="s">
        <v>40</v>
      </c>
      <c r="L46" s="7" t="s">
        <v>41</v>
      </c>
      <c r="M46" s="7" t="s">
        <v>41</v>
      </c>
      <c r="N46" s="7" t="s">
        <v>41</v>
      </c>
    </row>
    <row r="47" ht="36" customHeight="1" spans="1:14" x14ac:dyDescent="0.25">
      <c r="A47" s="9" t="s">
        <v>1007</v>
      </c>
      <c r="B47" s="9" t="s">
        <v>1002</v>
      </c>
      <c r="C47" s="9" t="s">
        <v>1008</v>
      </c>
      <c r="D47" s="9" t="s">
        <v>34</v>
      </c>
      <c r="E47" s="9" t="s">
        <v>1009</v>
      </c>
      <c r="F47" s="9" t="s">
        <v>812</v>
      </c>
      <c r="G47" s="9" t="s">
        <v>1010</v>
      </c>
      <c r="H47" s="9" t="s">
        <v>790</v>
      </c>
      <c r="I47" s="8" t="s">
        <v>39</v>
      </c>
      <c r="J47" s="8" t="s">
        <v>40</v>
      </c>
      <c r="K47" s="8" t="s">
        <v>40</v>
      </c>
      <c r="L47" s="7" t="s">
        <v>41</v>
      </c>
      <c r="M47" s="7" t="s">
        <v>41</v>
      </c>
      <c r="N47" s="7" t="s">
        <v>41</v>
      </c>
    </row>
    <row r="48" ht="36" customHeight="1" spans="1:14" x14ac:dyDescent="0.25">
      <c r="A48" s="7" t="s">
        <v>1011</v>
      </c>
      <c r="B48" s="7" t="s">
        <v>1002</v>
      </c>
      <c r="C48" s="7" t="s">
        <v>1012</v>
      </c>
      <c r="D48" s="7" t="s">
        <v>34</v>
      </c>
      <c r="E48" s="7" t="s">
        <v>1013</v>
      </c>
      <c r="F48" s="7" t="s">
        <v>812</v>
      </c>
      <c r="G48" s="7" t="s">
        <v>1014</v>
      </c>
      <c r="H48" s="7" t="s">
        <v>1015</v>
      </c>
      <c r="I48" s="8" t="s">
        <v>39</v>
      </c>
      <c r="J48" s="8" t="s">
        <v>40</v>
      </c>
      <c r="K48" s="8" t="s">
        <v>40</v>
      </c>
      <c r="L48" s="7" t="s">
        <v>41</v>
      </c>
      <c r="M48" s="7" t="s">
        <v>41</v>
      </c>
      <c r="N48" s="7" t="s">
        <v>41</v>
      </c>
    </row>
    <row r="49" ht="36" customHeight="1" spans="1:14" x14ac:dyDescent="0.25">
      <c r="A49" s="9" t="s">
        <v>1016</v>
      </c>
      <c r="B49" s="9" t="s">
        <v>1002</v>
      </c>
      <c r="C49" s="9" t="s">
        <v>1017</v>
      </c>
      <c r="D49" s="9" t="s">
        <v>34</v>
      </c>
      <c r="E49" s="9" t="s">
        <v>1018</v>
      </c>
      <c r="F49" s="9" t="s">
        <v>812</v>
      </c>
      <c r="G49" s="9" t="s">
        <v>1019</v>
      </c>
      <c r="H49" s="9" t="s">
        <v>1020</v>
      </c>
      <c r="I49" s="8" t="s">
        <v>39</v>
      </c>
      <c r="J49" s="8" t="s">
        <v>40</v>
      </c>
      <c r="K49" s="8" t="s">
        <v>40</v>
      </c>
      <c r="L49" s="7" t="s">
        <v>41</v>
      </c>
      <c r="M49" s="7" t="s">
        <v>41</v>
      </c>
      <c r="N49" s="7" t="s">
        <v>41</v>
      </c>
    </row>
    <row r="50" ht="36" customHeight="1" spans="1:14" x14ac:dyDescent="0.25">
      <c r="A50" s="7" t="s">
        <v>1021</v>
      </c>
      <c r="B50" s="7" t="s">
        <v>1002</v>
      </c>
      <c r="C50" s="7" t="s">
        <v>1022</v>
      </c>
      <c r="D50" s="7" t="s">
        <v>34</v>
      </c>
      <c r="E50" s="7" t="s">
        <v>1023</v>
      </c>
      <c r="F50" s="7" t="s">
        <v>812</v>
      </c>
      <c r="G50" s="7" t="s">
        <v>1024</v>
      </c>
      <c r="H50" s="7" t="s">
        <v>1025</v>
      </c>
      <c r="I50" s="8" t="s">
        <v>39</v>
      </c>
      <c r="J50" s="8" t="s">
        <v>40</v>
      </c>
      <c r="K50" s="8" t="s">
        <v>40</v>
      </c>
      <c r="L50" s="7" t="s">
        <v>41</v>
      </c>
      <c r="M50" s="7" t="s">
        <v>41</v>
      </c>
      <c r="N50" s="7" t="s">
        <v>41</v>
      </c>
    </row>
    <row r="51" ht="36" customHeight="1" spans="1:14" x14ac:dyDescent="0.25">
      <c r="A51" s="9" t="s">
        <v>1026</v>
      </c>
      <c r="B51" s="9" t="s">
        <v>1002</v>
      </c>
      <c r="C51" s="9" t="s">
        <v>1027</v>
      </c>
      <c r="D51" s="9" t="s">
        <v>34</v>
      </c>
      <c r="E51" s="9" t="s">
        <v>1028</v>
      </c>
      <c r="F51" s="9" t="s">
        <v>812</v>
      </c>
      <c r="G51" s="9" t="s">
        <v>1029</v>
      </c>
      <c r="H51" s="9" t="s">
        <v>1030</v>
      </c>
      <c r="I51" s="8" t="s">
        <v>39</v>
      </c>
      <c r="J51" s="8" t="s">
        <v>40</v>
      </c>
      <c r="K51" s="8" t="s">
        <v>40</v>
      </c>
      <c r="L51" s="7" t="s">
        <v>41</v>
      </c>
      <c r="M51" s="7" t="s">
        <v>41</v>
      </c>
      <c r="N51" s="7" t="s">
        <v>41</v>
      </c>
    </row>
    <row r="52" ht="36" customHeight="1" spans="1:14" x14ac:dyDescent="0.25">
      <c r="A52" s="7" t="s">
        <v>1031</v>
      </c>
      <c r="B52" s="7" t="s">
        <v>1002</v>
      </c>
      <c r="C52" s="7" t="s">
        <v>1032</v>
      </c>
      <c r="D52" s="7" t="s">
        <v>34</v>
      </c>
      <c r="E52" s="7" t="s">
        <v>204</v>
      </c>
      <c r="F52" s="7" t="s">
        <v>1033</v>
      </c>
      <c r="G52" s="7" t="s">
        <v>1034</v>
      </c>
      <c r="H52" s="7" t="s">
        <v>1035</v>
      </c>
      <c r="I52" s="8" t="s">
        <v>39</v>
      </c>
      <c r="J52" s="8" t="s">
        <v>40</v>
      </c>
      <c r="K52" s="8" t="s">
        <v>40</v>
      </c>
      <c r="L52" s="7" t="s">
        <v>41</v>
      </c>
      <c r="M52" s="7" t="s">
        <v>41</v>
      </c>
      <c r="N52" s="7" t="s">
        <v>41</v>
      </c>
    </row>
    <row r="53" ht="36" customHeight="1" spans="1:14" x14ac:dyDescent="0.25">
      <c r="A53" s="9" t="s">
        <v>1036</v>
      </c>
      <c r="B53" s="9" t="s">
        <v>1002</v>
      </c>
      <c r="C53" s="9" t="s">
        <v>1037</v>
      </c>
      <c r="D53" s="9" t="s">
        <v>34</v>
      </c>
      <c r="E53" s="9" t="s">
        <v>1038</v>
      </c>
      <c r="F53" s="9" t="s">
        <v>1039</v>
      </c>
      <c r="G53" s="9" t="s">
        <v>1040</v>
      </c>
      <c r="H53" s="9" t="s">
        <v>1041</v>
      </c>
      <c r="I53" s="8" t="s">
        <v>39</v>
      </c>
      <c r="J53" s="8" t="s">
        <v>40</v>
      </c>
      <c r="K53" s="8" t="s">
        <v>40</v>
      </c>
      <c r="L53" s="7" t="s">
        <v>41</v>
      </c>
      <c r="M53" s="7" t="s">
        <v>41</v>
      </c>
      <c r="N53" s="7" t="s">
        <v>41</v>
      </c>
    </row>
    <row r="54" ht="36" customHeight="1" spans="1:14" x14ac:dyDescent="0.25">
      <c r="A54" s="7" t="s">
        <v>1042</v>
      </c>
      <c r="B54" s="7" t="s">
        <v>1002</v>
      </c>
      <c r="C54" s="7" t="s">
        <v>1043</v>
      </c>
      <c r="D54" s="7" t="s">
        <v>34</v>
      </c>
      <c r="E54" s="7" t="s">
        <v>1044</v>
      </c>
      <c r="F54" s="7" t="s">
        <v>1045</v>
      </c>
      <c r="G54" s="7" t="s">
        <v>1046</v>
      </c>
      <c r="H54" s="7" t="s">
        <v>1047</v>
      </c>
      <c r="I54" s="8" t="s">
        <v>39</v>
      </c>
      <c r="J54" s="8" t="s">
        <v>40</v>
      </c>
      <c r="K54" s="8" t="s">
        <v>40</v>
      </c>
      <c r="L54" s="7" t="s">
        <v>41</v>
      </c>
      <c r="M54" s="7" t="s">
        <v>41</v>
      </c>
      <c r="N54" s="7" t="s">
        <v>41</v>
      </c>
    </row>
    <row r="55" ht="36" customHeight="1" spans="1:14" x14ac:dyDescent="0.25">
      <c r="A55" s="9" t="s">
        <v>1048</v>
      </c>
      <c r="B55" s="9" t="s">
        <v>1002</v>
      </c>
      <c r="C55" s="9" t="s">
        <v>1049</v>
      </c>
      <c r="D55" s="9" t="s">
        <v>34</v>
      </c>
      <c r="E55" s="9" t="s">
        <v>204</v>
      </c>
      <c r="F55" s="9" t="s">
        <v>1050</v>
      </c>
      <c r="G55" s="9" t="s">
        <v>1051</v>
      </c>
      <c r="H55" s="9" t="s">
        <v>790</v>
      </c>
      <c r="I55" s="8" t="s">
        <v>39</v>
      </c>
      <c r="J55" s="8" t="s">
        <v>40</v>
      </c>
      <c r="K55" s="8" t="s">
        <v>40</v>
      </c>
      <c r="L55" s="7" t="s">
        <v>41</v>
      </c>
      <c r="M55" s="7" t="s">
        <v>41</v>
      </c>
      <c r="N55" s="7" t="s">
        <v>41</v>
      </c>
    </row>
    <row r="56" ht="36" customHeight="1" spans="1:14" x14ac:dyDescent="0.25">
      <c r="A56" s="7" t="s">
        <v>1052</v>
      </c>
      <c r="B56" s="7" t="s">
        <v>1002</v>
      </c>
      <c r="C56" s="7" t="s">
        <v>1053</v>
      </c>
      <c r="D56" s="7" t="s">
        <v>405</v>
      </c>
      <c r="E56" s="7" t="s">
        <v>1054</v>
      </c>
      <c r="F56" s="7" t="s">
        <v>1055</v>
      </c>
      <c r="G56" s="7" t="s">
        <v>350</v>
      </c>
      <c r="H56" s="7" t="s">
        <v>1056</v>
      </c>
      <c r="I56" s="8" t="s">
        <v>39</v>
      </c>
      <c r="J56" s="8" t="s">
        <v>40</v>
      </c>
      <c r="K56" s="8" t="s">
        <v>40</v>
      </c>
      <c r="L56" s="7" t="s">
        <v>41</v>
      </c>
      <c r="M56" s="7" t="s">
        <v>41</v>
      </c>
      <c r="N56" s="7" t="s">
        <v>41</v>
      </c>
    </row>
    <row r="57" ht="36" customHeight="1" spans="1:14" x14ac:dyDescent="0.25">
      <c r="A57" s="9" t="s">
        <v>1057</v>
      </c>
      <c r="B57" s="9" t="s">
        <v>1002</v>
      </c>
      <c r="C57" s="9" t="s">
        <v>1058</v>
      </c>
      <c r="D57" s="9" t="s">
        <v>368</v>
      </c>
      <c r="E57" s="9" t="s">
        <v>1059</v>
      </c>
      <c r="F57" s="9" t="s">
        <v>1060</v>
      </c>
      <c r="G57" s="9" t="s">
        <v>350</v>
      </c>
      <c r="H57" s="9" t="s">
        <v>1061</v>
      </c>
      <c r="I57" s="8" t="s">
        <v>39</v>
      </c>
      <c r="J57" s="8" t="s">
        <v>40</v>
      </c>
      <c r="K57" s="8" t="s">
        <v>40</v>
      </c>
      <c r="L57" s="7" t="s">
        <v>41</v>
      </c>
      <c r="M57" s="7" t="s">
        <v>41</v>
      </c>
      <c r="N57" s="7" t="s">
        <v>41</v>
      </c>
    </row>
    <row r="58" ht="36" customHeight="1" spans="1:14" x14ac:dyDescent="0.25">
      <c r="A58" s="7" t="s">
        <v>1062</v>
      </c>
      <c r="B58" s="7" t="s">
        <v>1002</v>
      </c>
      <c r="C58" s="7" t="s">
        <v>1063</v>
      </c>
      <c r="D58" s="7" t="s">
        <v>1064</v>
      </c>
      <c r="E58" s="7" t="s">
        <v>204</v>
      </c>
      <c r="F58" s="7" t="s">
        <v>1065</v>
      </c>
      <c r="G58" s="7" t="s">
        <v>1066</v>
      </c>
      <c r="H58" s="7" t="s">
        <v>1067</v>
      </c>
      <c r="I58" s="8" t="s">
        <v>39</v>
      </c>
      <c r="J58" s="8" t="s">
        <v>40</v>
      </c>
      <c r="K58" s="8" t="s">
        <v>40</v>
      </c>
      <c r="L58" s="7" t="s">
        <v>41</v>
      </c>
      <c r="M58" s="7" t="s">
        <v>41</v>
      </c>
      <c r="N58" s="7" t="s">
        <v>41</v>
      </c>
    </row>
    <row r="59" ht="36" customHeight="1" spans="1:14" x14ac:dyDescent="0.25">
      <c r="A59" s="9" t="s">
        <v>1068</v>
      </c>
      <c r="B59" s="9" t="s">
        <v>1002</v>
      </c>
      <c r="C59" s="9" t="s">
        <v>1069</v>
      </c>
      <c r="D59" s="9" t="s">
        <v>405</v>
      </c>
      <c r="E59" s="9" t="s">
        <v>204</v>
      </c>
      <c r="F59" s="9" t="s">
        <v>1070</v>
      </c>
      <c r="G59" s="9" t="s">
        <v>350</v>
      </c>
      <c r="H59" s="9" t="s">
        <v>1071</v>
      </c>
      <c r="I59" s="8" t="s">
        <v>39</v>
      </c>
      <c r="J59" s="8" t="s">
        <v>40</v>
      </c>
      <c r="K59" s="8" t="s">
        <v>40</v>
      </c>
      <c r="L59" s="7" t="s">
        <v>41</v>
      </c>
      <c r="M59" s="7" t="s">
        <v>41</v>
      </c>
      <c r="N59" s="7" t="s">
        <v>41</v>
      </c>
    </row>
    <row r="60" ht="36" customHeight="1" spans="1:14" x14ac:dyDescent="0.25">
      <c r="A60" s="7" t="s">
        <v>1072</v>
      </c>
      <c r="B60" s="7" t="s">
        <v>1002</v>
      </c>
      <c r="C60" s="7" t="s">
        <v>1073</v>
      </c>
      <c r="D60" s="7" t="s">
        <v>405</v>
      </c>
      <c r="E60" s="7" t="s">
        <v>204</v>
      </c>
      <c r="F60" s="7" t="s">
        <v>1074</v>
      </c>
      <c r="G60" s="7" t="s">
        <v>350</v>
      </c>
      <c r="H60" s="7" t="s">
        <v>620</v>
      </c>
      <c r="I60" s="8" t="s">
        <v>39</v>
      </c>
      <c r="J60" s="8" t="s">
        <v>40</v>
      </c>
      <c r="K60" s="8" t="s">
        <v>40</v>
      </c>
      <c r="L60" s="7" t="s">
        <v>41</v>
      </c>
      <c r="M60" s="7" t="s">
        <v>41</v>
      </c>
      <c r="N60" s="7" t="s">
        <v>41</v>
      </c>
    </row>
    <row r="61" ht="36" customHeight="1" spans="1:14" x14ac:dyDescent="0.25">
      <c r="A61" s="9" t="s">
        <v>1075</v>
      </c>
      <c r="B61" s="9" t="s">
        <v>1002</v>
      </c>
      <c r="C61" s="9" t="s">
        <v>1076</v>
      </c>
      <c r="D61" s="9" t="s">
        <v>405</v>
      </c>
      <c r="E61" s="9" t="s">
        <v>204</v>
      </c>
      <c r="F61" s="9" t="s">
        <v>1077</v>
      </c>
      <c r="G61" s="9" t="s">
        <v>350</v>
      </c>
      <c r="H61" s="9" t="s">
        <v>1078</v>
      </c>
      <c r="I61" s="8" t="s">
        <v>39</v>
      </c>
      <c r="J61" s="8" t="s">
        <v>40</v>
      </c>
      <c r="K61" s="8" t="s">
        <v>40</v>
      </c>
      <c r="L61" s="7" t="s">
        <v>41</v>
      </c>
      <c r="M61" s="7" t="s">
        <v>41</v>
      </c>
      <c r="N61" s="7" t="s">
        <v>41</v>
      </c>
    </row>
    <row r="62" ht="36" customHeight="1" spans="1:14" x14ac:dyDescent="0.25">
      <c r="A62" s="7" t="s">
        <v>1079</v>
      </c>
      <c r="B62" s="7" t="s">
        <v>1002</v>
      </c>
      <c r="C62" s="7" t="s">
        <v>1080</v>
      </c>
      <c r="D62" s="7" t="s">
        <v>405</v>
      </c>
      <c r="E62" s="7" t="s">
        <v>204</v>
      </c>
      <c r="F62" s="7" t="s">
        <v>1081</v>
      </c>
      <c r="G62" s="7" t="s">
        <v>1082</v>
      </c>
      <c r="H62" s="7" t="s">
        <v>1083</v>
      </c>
      <c r="I62" s="8" t="s">
        <v>39</v>
      </c>
      <c r="J62" s="8" t="s">
        <v>40</v>
      </c>
      <c r="K62" s="8" t="s">
        <v>40</v>
      </c>
      <c r="L62" s="7" t="s">
        <v>41</v>
      </c>
      <c r="M62" s="7" t="s">
        <v>41</v>
      </c>
      <c r="N62" s="7" t="s">
        <v>41</v>
      </c>
    </row>
    <row r="63" ht="36" customHeight="1" spans="1:14" x14ac:dyDescent="0.25">
      <c r="A63" s="9" t="s">
        <v>1084</v>
      </c>
      <c r="B63" s="9" t="s">
        <v>1002</v>
      </c>
      <c r="C63" s="9" t="s">
        <v>1085</v>
      </c>
      <c r="D63" s="9" t="s">
        <v>368</v>
      </c>
      <c r="E63" s="9" t="s">
        <v>204</v>
      </c>
      <c r="F63" s="9" t="s">
        <v>1086</v>
      </c>
      <c r="G63" s="9" t="s">
        <v>1087</v>
      </c>
      <c r="H63" s="9" t="s">
        <v>1088</v>
      </c>
      <c r="I63" s="8" t="s">
        <v>39</v>
      </c>
      <c r="J63" s="8" t="s">
        <v>40</v>
      </c>
      <c r="K63" s="8" t="s">
        <v>40</v>
      </c>
      <c r="L63" s="7" t="s">
        <v>41</v>
      </c>
      <c r="M63" s="7" t="s">
        <v>41</v>
      </c>
      <c r="N63" s="7" t="s">
        <v>41</v>
      </c>
    </row>
    <row r="64" ht="36" customHeight="1" spans="1:14" x14ac:dyDescent="0.25">
      <c r="A64" s="7" t="s">
        <v>1089</v>
      </c>
      <c r="B64" s="7" t="s">
        <v>1090</v>
      </c>
      <c r="C64" s="7" t="s">
        <v>1091</v>
      </c>
      <c r="D64" s="7" t="s">
        <v>34</v>
      </c>
      <c r="E64" s="7" t="s">
        <v>1092</v>
      </c>
      <c r="F64" s="7" t="s">
        <v>506</v>
      </c>
      <c r="G64" s="7" t="s">
        <v>1093</v>
      </c>
      <c r="H64" s="7" t="s">
        <v>1094</v>
      </c>
      <c r="I64" s="8" t="s">
        <v>39</v>
      </c>
      <c r="J64" s="8" t="s">
        <v>40</v>
      </c>
      <c r="K64" s="8" t="s">
        <v>40</v>
      </c>
      <c r="L64" s="7" t="s">
        <v>41</v>
      </c>
      <c r="M64" s="7" t="s">
        <v>41</v>
      </c>
      <c r="N64" s="7" t="s">
        <v>41</v>
      </c>
    </row>
    <row r="65" ht="36" customHeight="1" spans="1:14" x14ac:dyDescent="0.25">
      <c r="A65" s="9" t="s">
        <v>1095</v>
      </c>
      <c r="B65" s="9" t="s">
        <v>1090</v>
      </c>
      <c r="C65" s="9" t="s">
        <v>1096</v>
      </c>
      <c r="D65" s="9" t="s">
        <v>34</v>
      </c>
      <c r="E65" s="9" t="s">
        <v>1097</v>
      </c>
      <c r="F65" s="9" t="s">
        <v>1098</v>
      </c>
      <c r="G65" s="9" t="s">
        <v>1099</v>
      </c>
      <c r="H65" s="9" t="s">
        <v>1100</v>
      </c>
      <c r="I65" s="8" t="s">
        <v>39</v>
      </c>
      <c r="J65" s="8" t="s">
        <v>40</v>
      </c>
      <c r="K65" s="8" t="s">
        <v>40</v>
      </c>
      <c r="L65" s="7" t="s">
        <v>41</v>
      </c>
      <c r="M65" s="7" t="s">
        <v>41</v>
      </c>
      <c r="N65" s="7" t="s">
        <v>41</v>
      </c>
    </row>
    <row r="66" ht="36" customHeight="1" spans="1:14" x14ac:dyDescent="0.25">
      <c r="A66" s="7" t="s">
        <v>1101</v>
      </c>
      <c r="B66" s="7" t="s">
        <v>1090</v>
      </c>
      <c r="C66" s="7" t="s">
        <v>1102</v>
      </c>
      <c r="D66" s="7" t="s">
        <v>34</v>
      </c>
      <c r="E66" s="7" t="s">
        <v>1103</v>
      </c>
      <c r="F66" s="7" t="s">
        <v>1104</v>
      </c>
      <c r="G66" s="7" t="s">
        <v>1105</v>
      </c>
      <c r="H66" s="7" t="s">
        <v>1106</v>
      </c>
      <c r="I66" s="8" t="s">
        <v>39</v>
      </c>
      <c r="J66" s="8" t="s">
        <v>40</v>
      </c>
      <c r="K66" s="8" t="s">
        <v>40</v>
      </c>
      <c r="L66" s="7" t="s">
        <v>41</v>
      </c>
      <c r="M66" s="7" t="s">
        <v>41</v>
      </c>
      <c r="N66" s="7" t="s">
        <v>41</v>
      </c>
    </row>
    <row r="67" ht="36" customHeight="1" spans="1:14" x14ac:dyDescent="0.25">
      <c r="A67" s="9" t="s">
        <v>1107</v>
      </c>
      <c r="B67" s="9" t="s">
        <v>1090</v>
      </c>
      <c r="C67" s="9" t="s">
        <v>1108</v>
      </c>
      <c r="D67" s="9" t="s">
        <v>34</v>
      </c>
      <c r="E67" s="9" t="s">
        <v>1109</v>
      </c>
      <c r="F67" s="9" t="s">
        <v>1110</v>
      </c>
      <c r="G67" s="9" t="s">
        <v>1111</v>
      </c>
      <c r="H67" s="9" t="s">
        <v>1112</v>
      </c>
      <c r="I67" s="8" t="s">
        <v>39</v>
      </c>
      <c r="J67" s="8" t="s">
        <v>40</v>
      </c>
      <c r="K67" s="8" t="s">
        <v>40</v>
      </c>
      <c r="L67" s="7" t="s">
        <v>41</v>
      </c>
      <c r="M67" s="7" t="s">
        <v>41</v>
      </c>
      <c r="N67" s="7" t="s">
        <v>41</v>
      </c>
    </row>
    <row r="68" ht="36" customHeight="1" spans="1:14" x14ac:dyDescent="0.25">
      <c r="A68" s="7" t="s">
        <v>1113</v>
      </c>
      <c r="B68" s="7" t="s">
        <v>1090</v>
      </c>
      <c r="C68" s="7" t="s">
        <v>1114</v>
      </c>
      <c r="D68" s="7" t="s">
        <v>1115</v>
      </c>
      <c r="E68" s="7" t="s">
        <v>1116</v>
      </c>
      <c r="F68" s="7" t="s">
        <v>812</v>
      </c>
      <c r="G68" s="7" t="s">
        <v>1117</v>
      </c>
      <c r="H68" s="7" t="s">
        <v>1118</v>
      </c>
      <c r="I68" s="8" t="s">
        <v>39</v>
      </c>
      <c r="J68" s="8" t="s">
        <v>40</v>
      </c>
      <c r="K68" s="8" t="s">
        <v>40</v>
      </c>
      <c r="L68" s="7" t="s">
        <v>41</v>
      </c>
      <c r="M68" s="7" t="s">
        <v>41</v>
      </c>
      <c r="N68" s="7" t="s">
        <v>41</v>
      </c>
    </row>
    <row r="69" ht="36" customHeight="1" spans="1:14" x14ac:dyDescent="0.25">
      <c r="A69" s="9" t="s">
        <v>1119</v>
      </c>
      <c r="B69" s="9" t="s">
        <v>1120</v>
      </c>
      <c r="C69" s="9" t="s">
        <v>1121</v>
      </c>
      <c r="D69" s="9" t="s">
        <v>91</v>
      </c>
      <c r="E69" s="9" t="s">
        <v>516</v>
      </c>
      <c r="F69" s="9" t="s">
        <v>1122</v>
      </c>
      <c r="G69" s="9" t="s">
        <v>1123</v>
      </c>
      <c r="H69" s="9" t="s">
        <v>1124</v>
      </c>
      <c r="I69" s="8" t="s">
        <v>39</v>
      </c>
      <c r="J69" s="8" t="s">
        <v>40</v>
      </c>
      <c r="K69" s="8" t="s">
        <v>40</v>
      </c>
      <c r="L69" s="7" t="s">
        <v>41</v>
      </c>
      <c r="M69" s="7" t="s">
        <v>41</v>
      </c>
      <c r="N69" s="7" t="s">
        <v>41</v>
      </c>
    </row>
    <row r="70" ht="36" customHeight="1" spans="1:14" x14ac:dyDescent="0.25">
      <c r="A70" s="7" t="s">
        <v>1125</v>
      </c>
      <c r="B70" s="7" t="s">
        <v>1120</v>
      </c>
      <c r="C70" s="7" t="s">
        <v>1126</v>
      </c>
      <c r="D70" s="7" t="s">
        <v>91</v>
      </c>
      <c r="E70" s="7" t="s">
        <v>1127</v>
      </c>
      <c r="F70" s="7" t="s">
        <v>1128</v>
      </c>
      <c r="G70" s="7" t="s">
        <v>1129</v>
      </c>
      <c r="H70" s="7" t="s">
        <v>1130</v>
      </c>
      <c r="I70" s="8" t="s">
        <v>39</v>
      </c>
      <c r="J70" s="8" t="s">
        <v>40</v>
      </c>
      <c r="K70" s="8" t="s">
        <v>40</v>
      </c>
      <c r="L70" s="7" t="s">
        <v>41</v>
      </c>
      <c r="M70" s="7" t="s">
        <v>41</v>
      </c>
      <c r="N70" s="7" t="s">
        <v>41</v>
      </c>
    </row>
    <row r="71" ht="36" customHeight="1" spans="1:14" x14ac:dyDescent="0.25">
      <c r="A71" s="9" t="s">
        <v>1131</v>
      </c>
      <c r="B71" s="9" t="s">
        <v>1120</v>
      </c>
      <c r="C71" s="9" t="s">
        <v>1132</v>
      </c>
      <c r="D71" s="9" t="s">
        <v>91</v>
      </c>
      <c r="E71" s="9" t="s">
        <v>204</v>
      </c>
      <c r="F71" s="9" t="s">
        <v>1133</v>
      </c>
      <c r="G71" s="9" t="s">
        <v>1134</v>
      </c>
      <c r="H71" s="9" t="s">
        <v>1135</v>
      </c>
      <c r="I71" s="8" t="s">
        <v>39</v>
      </c>
      <c r="J71" s="8" t="s">
        <v>40</v>
      </c>
      <c r="K71" s="8" t="s">
        <v>40</v>
      </c>
      <c r="L71" s="7" t="s">
        <v>41</v>
      </c>
      <c r="M71" s="7" t="s">
        <v>41</v>
      </c>
      <c r="N71" s="7" t="s">
        <v>41</v>
      </c>
    </row>
    <row r="72" ht="36" customHeight="1" spans="1:14" x14ac:dyDescent="0.25">
      <c r="A72" s="7" t="s">
        <v>1136</v>
      </c>
      <c r="B72" s="7" t="s">
        <v>1120</v>
      </c>
      <c r="C72" s="7" t="s">
        <v>1137</v>
      </c>
      <c r="D72" s="7" t="s">
        <v>91</v>
      </c>
      <c r="E72" s="7" t="s">
        <v>1138</v>
      </c>
      <c r="F72" s="7" t="s">
        <v>1139</v>
      </c>
      <c r="G72" s="7" t="s">
        <v>1140</v>
      </c>
      <c r="H72" s="7" t="s">
        <v>1141</v>
      </c>
      <c r="I72" s="8" t="s">
        <v>39</v>
      </c>
      <c r="J72" s="8" t="s">
        <v>40</v>
      </c>
      <c r="K72" s="8" t="s">
        <v>40</v>
      </c>
      <c r="L72" s="7" t="s">
        <v>41</v>
      </c>
      <c r="M72" s="7" t="s">
        <v>41</v>
      </c>
      <c r="N72" s="7" t="s">
        <v>41</v>
      </c>
    </row>
    <row r="73" ht="36" customHeight="1" spans="1:14" x14ac:dyDescent="0.25">
      <c r="A73" s="9" t="s">
        <v>1142</v>
      </c>
      <c r="B73" s="9" t="s">
        <v>1120</v>
      </c>
      <c r="C73" s="9" t="s">
        <v>1143</v>
      </c>
      <c r="D73" s="9" t="s">
        <v>91</v>
      </c>
      <c r="E73" s="9" t="s">
        <v>204</v>
      </c>
      <c r="F73" s="9" t="s">
        <v>1144</v>
      </c>
      <c r="G73" s="9" t="s">
        <v>1145</v>
      </c>
      <c r="H73" s="9" t="s">
        <v>1146</v>
      </c>
      <c r="I73" s="8" t="s">
        <v>39</v>
      </c>
      <c r="J73" s="8" t="s">
        <v>40</v>
      </c>
      <c r="K73" s="8" t="s">
        <v>40</v>
      </c>
      <c r="L73" s="7" t="s">
        <v>41</v>
      </c>
      <c r="M73" s="7" t="s">
        <v>41</v>
      </c>
      <c r="N73" s="7" t="s">
        <v>41</v>
      </c>
    </row>
    <row r="74" ht="36" customHeight="1" spans="1:14" x14ac:dyDescent="0.25">
      <c r="A74" s="7" t="s">
        <v>1147</v>
      </c>
      <c r="B74" s="7" t="s">
        <v>1120</v>
      </c>
      <c r="C74" s="7" t="s">
        <v>1148</v>
      </c>
      <c r="D74" s="7" t="s">
        <v>1149</v>
      </c>
      <c r="E74" s="7" t="s">
        <v>1150</v>
      </c>
      <c r="F74" s="7" t="s">
        <v>442</v>
      </c>
      <c r="G74" s="7" t="s">
        <v>1151</v>
      </c>
      <c r="H74" s="7" t="s">
        <v>693</v>
      </c>
      <c r="I74" s="8" t="s">
        <v>39</v>
      </c>
      <c r="J74" s="8" t="s">
        <v>40</v>
      </c>
      <c r="K74" s="8" t="s">
        <v>40</v>
      </c>
      <c r="L74" s="7" t="s">
        <v>41</v>
      </c>
      <c r="M74" s="7" t="s">
        <v>41</v>
      </c>
      <c r="N74" s="7" t="s">
        <v>41</v>
      </c>
    </row>
    <row r="75" ht="36" customHeight="1" spans="1:14" x14ac:dyDescent="0.25">
      <c r="A75" s="9" t="s">
        <v>1152</v>
      </c>
      <c r="B75" s="9" t="s">
        <v>1153</v>
      </c>
      <c r="C75" s="9" t="s">
        <v>1154</v>
      </c>
      <c r="D75" s="9" t="s">
        <v>51</v>
      </c>
      <c r="E75" s="9" t="s">
        <v>1155</v>
      </c>
      <c r="F75" s="9" t="s">
        <v>1156</v>
      </c>
      <c r="G75" s="9" t="s">
        <v>1157</v>
      </c>
      <c r="H75" s="9" t="s">
        <v>1158</v>
      </c>
      <c r="I75" s="8" t="s">
        <v>39</v>
      </c>
      <c r="J75" s="8" t="s">
        <v>40</v>
      </c>
      <c r="K75" s="8" t="s">
        <v>40</v>
      </c>
      <c r="L75" s="7" t="s">
        <v>41</v>
      </c>
      <c r="M75" s="7" t="s">
        <v>41</v>
      </c>
      <c r="N75" s="7" t="s">
        <v>41</v>
      </c>
    </row>
    <row r="76" ht="36" customHeight="1" spans="1:14" x14ac:dyDescent="0.25">
      <c r="A76" s="7" t="s">
        <v>1159</v>
      </c>
      <c r="B76" s="7" t="s">
        <v>1153</v>
      </c>
      <c r="C76" s="7" t="s">
        <v>1160</v>
      </c>
      <c r="D76" s="7" t="s">
        <v>51</v>
      </c>
      <c r="E76" s="7" t="s">
        <v>1161</v>
      </c>
      <c r="F76" s="7" t="s">
        <v>1162</v>
      </c>
      <c r="G76" s="7" t="s">
        <v>1163</v>
      </c>
      <c r="H76" s="7" t="s">
        <v>1164</v>
      </c>
      <c r="I76" s="8" t="s">
        <v>39</v>
      </c>
      <c r="J76" s="8" t="s">
        <v>40</v>
      </c>
      <c r="K76" s="8" t="s">
        <v>40</v>
      </c>
      <c r="L76" s="7" t="s">
        <v>41</v>
      </c>
      <c r="M76" s="7" t="s">
        <v>41</v>
      </c>
      <c r="N76" s="7" t="s">
        <v>41</v>
      </c>
    </row>
    <row r="77" ht="36" customHeight="1" spans="1:14" x14ac:dyDescent="0.25">
      <c r="A77" s="9" t="s">
        <v>1165</v>
      </c>
      <c r="B77" s="9" t="s">
        <v>1153</v>
      </c>
      <c r="C77" s="9" t="s">
        <v>1166</v>
      </c>
      <c r="D77" s="9" t="s">
        <v>51</v>
      </c>
      <c r="E77" s="9" t="s">
        <v>1161</v>
      </c>
      <c r="F77" s="9" t="s">
        <v>1167</v>
      </c>
      <c r="G77" s="9" t="s">
        <v>1168</v>
      </c>
      <c r="H77" s="9" t="s">
        <v>1169</v>
      </c>
      <c r="I77" s="8" t="s">
        <v>39</v>
      </c>
      <c r="J77" s="8" t="s">
        <v>40</v>
      </c>
      <c r="K77" s="8" t="s">
        <v>40</v>
      </c>
      <c r="L77" s="7" t="s">
        <v>41</v>
      </c>
      <c r="M77" s="7" t="s">
        <v>41</v>
      </c>
      <c r="N77" s="7" t="s">
        <v>41</v>
      </c>
    </row>
    <row r="78" ht="36" customHeight="1" spans="1:14" x14ac:dyDescent="0.25">
      <c r="A78" s="7" t="s">
        <v>1170</v>
      </c>
      <c r="B78" s="7" t="s">
        <v>1153</v>
      </c>
      <c r="C78" s="7" t="s">
        <v>1171</v>
      </c>
      <c r="D78" s="7" t="s">
        <v>51</v>
      </c>
      <c r="E78" s="7" t="s">
        <v>1172</v>
      </c>
      <c r="F78" s="7" t="s">
        <v>1173</v>
      </c>
      <c r="G78" s="7" t="s">
        <v>1174</v>
      </c>
      <c r="H78" s="7" t="s">
        <v>1175</v>
      </c>
      <c r="I78" s="8" t="s">
        <v>39</v>
      </c>
      <c r="J78" s="8" t="s">
        <v>40</v>
      </c>
      <c r="K78" s="8" t="s">
        <v>40</v>
      </c>
      <c r="L78" s="7" t="s">
        <v>41</v>
      </c>
      <c r="M78" s="7" t="s">
        <v>41</v>
      </c>
      <c r="N78" s="7" t="s">
        <v>41</v>
      </c>
    </row>
    <row r="79" ht="36" customHeight="1" spans="1:14" x14ac:dyDescent="0.25">
      <c r="A79" s="9" t="s">
        <v>1176</v>
      </c>
      <c r="B79" s="9" t="s">
        <v>1153</v>
      </c>
      <c r="C79" s="9" t="s">
        <v>1177</v>
      </c>
      <c r="D79" s="9" t="s">
        <v>51</v>
      </c>
      <c r="E79" s="9" t="s">
        <v>1178</v>
      </c>
      <c r="F79" s="9" t="s">
        <v>1179</v>
      </c>
      <c r="G79" s="9" t="s">
        <v>1180</v>
      </c>
      <c r="H79" s="9" t="s">
        <v>1181</v>
      </c>
      <c r="I79" s="8" t="s">
        <v>39</v>
      </c>
      <c r="J79" s="8" t="s">
        <v>40</v>
      </c>
      <c r="K79" s="8" t="s">
        <v>40</v>
      </c>
      <c r="L79" s="7" t="s">
        <v>41</v>
      </c>
      <c r="M79" s="7" t="s">
        <v>41</v>
      </c>
      <c r="N79" s="7" t="s">
        <v>41</v>
      </c>
    </row>
    <row r="80" ht="36" customHeight="1" spans="1:14" x14ac:dyDescent="0.25">
      <c r="A80" s="7" t="s">
        <v>1182</v>
      </c>
      <c r="B80" s="7" t="s">
        <v>1153</v>
      </c>
      <c r="C80" s="7" t="s">
        <v>1183</v>
      </c>
      <c r="D80" s="7" t="s">
        <v>51</v>
      </c>
      <c r="E80" s="7" t="s">
        <v>1184</v>
      </c>
      <c r="F80" s="7" t="s">
        <v>1185</v>
      </c>
      <c r="G80" s="7" t="s">
        <v>1186</v>
      </c>
      <c r="H80" s="7" t="s">
        <v>1187</v>
      </c>
      <c r="I80" s="8" t="s">
        <v>39</v>
      </c>
      <c r="J80" s="8" t="s">
        <v>40</v>
      </c>
      <c r="K80" s="8" t="s">
        <v>40</v>
      </c>
      <c r="L80" s="7" t="s">
        <v>41</v>
      </c>
      <c r="M80" s="7" t="s">
        <v>41</v>
      </c>
      <c r="N80" s="7" t="s">
        <v>41</v>
      </c>
    </row>
    <row r="81" ht="36" customHeight="1" spans="1:14" x14ac:dyDescent="0.25">
      <c r="A81" s="9" t="s">
        <v>1188</v>
      </c>
      <c r="B81" s="9" t="s">
        <v>1153</v>
      </c>
      <c r="C81" s="9" t="s">
        <v>1189</v>
      </c>
      <c r="D81" s="9" t="s">
        <v>51</v>
      </c>
      <c r="E81" s="9" t="s">
        <v>204</v>
      </c>
      <c r="F81" s="9" t="s">
        <v>1190</v>
      </c>
      <c r="G81" s="9" t="s">
        <v>1191</v>
      </c>
      <c r="H81" s="9" t="s">
        <v>1192</v>
      </c>
      <c r="I81" s="8" t="s">
        <v>39</v>
      </c>
      <c r="J81" s="8" t="s">
        <v>40</v>
      </c>
      <c r="K81" s="8" t="s">
        <v>40</v>
      </c>
      <c r="L81" s="7" t="s">
        <v>41</v>
      </c>
      <c r="M81" s="7" t="s">
        <v>41</v>
      </c>
      <c r="N81" s="7" t="s">
        <v>41</v>
      </c>
    </row>
    <row r="82" ht="36" customHeight="1" spans="1:14" x14ac:dyDescent="0.25">
      <c r="A82" s="7" t="s">
        <v>1193</v>
      </c>
      <c r="B82" s="7" t="s">
        <v>1153</v>
      </c>
      <c r="C82" s="7" t="s">
        <v>1194</v>
      </c>
      <c r="D82" s="7" t="s">
        <v>51</v>
      </c>
      <c r="E82" s="7" t="s">
        <v>1195</v>
      </c>
      <c r="F82" s="7" t="s">
        <v>1196</v>
      </c>
      <c r="G82" s="7" t="s">
        <v>1197</v>
      </c>
      <c r="H82" s="7" t="s">
        <v>1198</v>
      </c>
      <c r="I82" s="8" t="s">
        <v>39</v>
      </c>
      <c r="J82" s="8" t="s">
        <v>40</v>
      </c>
      <c r="K82" s="8" t="s">
        <v>40</v>
      </c>
      <c r="L82" s="7" t="s">
        <v>41</v>
      </c>
      <c r="M82" s="7" t="s">
        <v>41</v>
      </c>
      <c r="N82" s="7" t="s">
        <v>41</v>
      </c>
    </row>
    <row r="83" ht="36" customHeight="1" spans="1:14" x14ac:dyDescent="0.25">
      <c r="A83" s="9" t="s">
        <v>1199</v>
      </c>
      <c r="B83" s="9" t="s">
        <v>1153</v>
      </c>
      <c r="C83" s="9" t="s">
        <v>1200</v>
      </c>
      <c r="D83" s="9" t="s">
        <v>51</v>
      </c>
      <c r="E83" s="9" t="s">
        <v>1201</v>
      </c>
      <c r="F83" s="9" t="s">
        <v>1202</v>
      </c>
      <c r="G83" s="9" t="s">
        <v>1203</v>
      </c>
      <c r="H83" s="9" t="s">
        <v>1204</v>
      </c>
      <c r="I83" s="8" t="s">
        <v>39</v>
      </c>
      <c r="J83" s="8" t="s">
        <v>40</v>
      </c>
      <c r="K83" s="8" t="s">
        <v>40</v>
      </c>
      <c r="L83" s="7" t="s">
        <v>41</v>
      </c>
      <c r="M83" s="7" t="s">
        <v>41</v>
      </c>
      <c r="N83" s="7" t="s">
        <v>41</v>
      </c>
    </row>
    <row r="84" ht="36" customHeight="1" spans="1:14" x14ac:dyDescent="0.25">
      <c r="A84" s="7" t="s">
        <v>1205</v>
      </c>
      <c r="B84" s="7" t="s">
        <v>1153</v>
      </c>
      <c r="C84" s="7" t="s">
        <v>1206</v>
      </c>
      <c r="D84" s="7" t="s">
        <v>51</v>
      </c>
      <c r="E84" s="7" t="s">
        <v>1207</v>
      </c>
      <c r="F84" s="7" t="s">
        <v>1208</v>
      </c>
      <c r="G84" s="7" t="s">
        <v>1209</v>
      </c>
      <c r="H84" s="7" t="s">
        <v>1210</v>
      </c>
      <c r="I84" s="8" t="s">
        <v>39</v>
      </c>
      <c r="J84" s="8" t="s">
        <v>40</v>
      </c>
      <c r="K84" s="8" t="s">
        <v>40</v>
      </c>
      <c r="L84" s="7" t="s">
        <v>41</v>
      </c>
      <c r="M84" s="7" t="s">
        <v>41</v>
      </c>
      <c r="N84" s="7" t="s">
        <v>41</v>
      </c>
    </row>
    <row r="85" ht="36" customHeight="1" spans="1:14" x14ac:dyDescent="0.25">
      <c r="A85" s="9" t="s">
        <v>1211</v>
      </c>
      <c r="B85" s="9" t="s">
        <v>1153</v>
      </c>
      <c r="C85" s="9" t="s">
        <v>1212</v>
      </c>
      <c r="D85" s="9" t="s">
        <v>51</v>
      </c>
      <c r="E85" s="9" t="s">
        <v>1207</v>
      </c>
      <c r="F85" s="9" t="s">
        <v>1213</v>
      </c>
      <c r="G85" s="9" t="s">
        <v>1214</v>
      </c>
      <c r="H85" s="9" t="s">
        <v>1215</v>
      </c>
      <c r="I85" s="8" t="s">
        <v>39</v>
      </c>
      <c r="J85" s="8" t="s">
        <v>40</v>
      </c>
      <c r="K85" s="8" t="s">
        <v>40</v>
      </c>
      <c r="L85" s="7" t="s">
        <v>41</v>
      </c>
      <c r="M85" s="7" t="s">
        <v>41</v>
      </c>
      <c r="N85" s="7" t="s">
        <v>41</v>
      </c>
    </row>
    <row r="86" ht="36" customHeight="1" spans="1:14" x14ac:dyDescent="0.25">
      <c r="A86" s="7" t="s">
        <v>1216</v>
      </c>
      <c r="B86" s="7" t="s">
        <v>1153</v>
      </c>
      <c r="C86" s="7" t="s">
        <v>1217</v>
      </c>
      <c r="D86" s="7" t="s">
        <v>51</v>
      </c>
      <c r="E86" s="7" t="s">
        <v>1218</v>
      </c>
      <c r="F86" s="7" t="s">
        <v>1219</v>
      </c>
      <c r="G86" s="7" t="s">
        <v>1220</v>
      </c>
      <c r="H86" s="7" t="s">
        <v>1221</v>
      </c>
      <c r="I86" s="8" t="s">
        <v>39</v>
      </c>
      <c r="J86" s="8" t="s">
        <v>40</v>
      </c>
      <c r="K86" s="8" t="s">
        <v>40</v>
      </c>
      <c r="L86" s="7" t="s">
        <v>41</v>
      </c>
      <c r="M86" s="7" t="s">
        <v>41</v>
      </c>
      <c r="N86" s="7" t="s">
        <v>41</v>
      </c>
    </row>
    <row r="87" ht="36" customHeight="1" spans="1:14" x14ac:dyDescent="0.25">
      <c r="A87" s="9" t="s">
        <v>1222</v>
      </c>
      <c r="B87" s="9" t="s">
        <v>1153</v>
      </c>
      <c r="C87" s="9" t="s">
        <v>1223</v>
      </c>
      <c r="D87" s="9" t="s">
        <v>51</v>
      </c>
      <c r="E87" s="9" t="s">
        <v>1224</v>
      </c>
      <c r="F87" s="9" t="s">
        <v>1225</v>
      </c>
      <c r="G87" s="9" t="s">
        <v>1226</v>
      </c>
      <c r="H87" s="9" t="s">
        <v>1227</v>
      </c>
      <c r="I87" s="8" t="s">
        <v>39</v>
      </c>
      <c r="J87" s="8" t="s">
        <v>40</v>
      </c>
      <c r="K87" s="8" t="s">
        <v>40</v>
      </c>
      <c r="L87" s="7" t="s">
        <v>41</v>
      </c>
      <c r="M87" s="7" t="s">
        <v>41</v>
      </c>
      <c r="N87" s="7" t="s">
        <v>41</v>
      </c>
    </row>
    <row r="88" ht="36" customHeight="1" spans="1:14" x14ac:dyDescent="0.25">
      <c r="A88" s="7" t="s">
        <v>1228</v>
      </c>
      <c r="B88" s="7" t="s">
        <v>1153</v>
      </c>
      <c r="C88" s="7" t="s">
        <v>1229</v>
      </c>
      <c r="D88" s="7" t="s">
        <v>51</v>
      </c>
      <c r="E88" s="7" t="s">
        <v>1230</v>
      </c>
      <c r="F88" s="7" t="s">
        <v>1231</v>
      </c>
      <c r="G88" s="7" t="s">
        <v>1232</v>
      </c>
      <c r="H88" s="7" t="s">
        <v>1233</v>
      </c>
      <c r="I88" s="8" t="s">
        <v>39</v>
      </c>
      <c r="J88" s="8" t="s">
        <v>40</v>
      </c>
      <c r="K88" s="8" t="s">
        <v>40</v>
      </c>
      <c r="L88" s="7" t="s">
        <v>41</v>
      </c>
      <c r="M88" s="7" t="s">
        <v>41</v>
      </c>
      <c r="N88" s="7" t="s">
        <v>41</v>
      </c>
    </row>
    <row r="89" ht="36" customHeight="1" spans="1:14" x14ac:dyDescent="0.25">
      <c r="A89" s="9" t="s">
        <v>1234</v>
      </c>
      <c r="B89" s="9" t="s">
        <v>1153</v>
      </c>
      <c r="C89" s="9" t="s">
        <v>1235</v>
      </c>
      <c r="D89" s="9" t="s">
        <v>51</v>
      </c>
      <c r="E89" s="9" t="s">
        <v>1236</v>
      </c>
      <c r="F89" s="9" t="s">
        <v>1173</v>
      </c>
      <c r="G89" s="9" t="s">
        <v>1237</v>
      </c>
      <c r="H89" s="9" t="s">
        <v>1238</v>
      </c>
      <c r="I89" s="8" t="s">
        <v>39</v>
      </c>
      <c r="J89" s="8" t="s">
        <v>40</v>
      </c>
      <c r="K89" s="8" t="s">
        <v>40</v>
      </c>
      <c r="L89" s="7" t="s">
        <v>41</v>
      </c>
      <c r="M89" s="7" t="s">
        <v>41</v>
      </c>
      <c r="N89" s="7" t="s">
        <v>41</v>
      </c>
    </row>
    <row r="90" ht="36" customHeight="1" spans="1:14" x14ac:dyDescent="0.25">
      <c r="A90" s="7" t="s">
        <v>1239</v>
      </c>
      <c r="B90" s="7" t="s">
        <v>1153</v>
      </c>
      <c r="C90" s="7" t="s">
        <v>1240</v>
      </c>
      <c r="D90" s="7" t="s">
        <v>51</v>
      </c>
      <c r="E90" s="7" t="s">
        <v>1241</v>
      </c>
      <c r="F90" s="7" t="s">
        <v>1173</v>
      </c>
      <c r="G90" s="7" t="s">
        <v>1242</v>
      </c>
      <c r="H90" s="7" t="s">
        <v>1243</v>
      </c>
      <c r="I90" s="8" t="s">
        <v>39</v>
      </c>
      <c r="J90" s="8" t="s">
        <v>40</v>
      </c>
      <c r="K90" s="8" t="s">
        <v>40</v>
      </c>
      <c r="L90" s="7" t="s">
        <v>41</v>
      </c>
      <c r="M90" s="7" t="s">
        <v>41</v>
      </c>
      <c r="N90" s="7" t="s">
        <v>41</v>
      </c>
    </row>
    <row r="91" ht="36" customHeight="1" spans="1:14" x14ac:dyDescent="0.25">
      <c r="A91" s="9" t="s">
        <v>1244</v>
      </c>
      <c r="B91" s="9" t="s">
        <v>1153</v>
      </c>
      <c r="C91" s="9" t="s">
        <v>1245</v>
      </c>
      <c r="D91" s="9" t="s">
        <v>51</v>
      </c>
      <c r="E91" s="9" t="s">
        <v>1246</v>
      </c>
      <c r="F91" s="9" t="s">
        <v>1173</v>
      </c>
      <c r="G91" s="9" t="s">
        <v>1247</v>
      </c>
      <c r="H91" s="9" t="s">
        <v>1248</v>
      </c>
      <c r="I91" s="8" t="s">
        <v>39</v>
      </c>
      <c r="J91" s="8" t="s">
        <v>40</v>
      </c>
      <c r="K91" s="8" t="s">
        <v>40</v>
      </c>
      <c r="L91" s="7" t="s">
        <v>41</v>
      </c>
      <c r="M91" s="7" t="s">
        <v>41</v>
      </c>
      <c r="N91" s="7" t="s">
        <v>41</v>
      </c>
    </row>
    <row r="92" ht="36" customHeight="1" spans="1:14" x14ac:dyDescent="0.25">
      <c r="A92" s="7" t="s">
        <v>1249</v>
      </c>
      <c r="B92" s="7" t="s">
        <v>1153</v>
      </c>
      <c r="C92" s="7" t="s">
        <v>1250</v>
      </c>
      <c r="D92" s="7" t="s">
        <v>51</v>
      </c>
      <c r="E92" s="7" t="s">
        <v>204</v>
      </c>
      <c r="F92" s="7" t="s">
        <v>1251</v>
      </c>
      <c r="G92" s="7" t="s">
        <v>1252</v>
      </c>
      <c r="H92" s="7" t="s">
        <v>1253</v>
      </c>
      <c r="I92" s="8" t="s">
        <v>39</v>
      </c>
      <c r="J92" s="8" t="s">
        <v>40</v>
      </c>
      <c r="K92" s="8" t="s">
        <v>40</v>
      </c>
      <c r="L92" s="7" t="s">
        <v>41</v>
      </c>
      <c r="M92" s="7" t="s">
        <v>41</v>
      </c>
      <c r="N92" s="7" t="s">
        <v>41</v>
      </c>
    </row>
    <row r="93" ht="36" customHeight="1" spans="1:14" x14ac:dyDescent="0.25">
      <c r="A93" s="9" t="s">
        <v>1254</v>
      </c>
      <c r="B93" s="9" t="s">
        <v>1153</v>
      </c>
      <c r="C93" s="9" t="s">
        <v>1255</v>
      </c>
      <c r="D93" s="9" t="s">
        <v>51</v>
      </c>
      <c r="E93" s="9" t="s">
        <v>1256</v>
      </c>
      <c r="F93" s="9" t="s">
        <v>1257</v>
      </c>
      <c r="G93" s="9" t="s">
        <v>1258</v>
      </c>
      <c r="H93" s="9" t="s">
        <v>1259</v>
      </c>
      <c r="I93" s="8" t="s">
        <v>39</v>
      </c>
      <c r="J93" s="8" t="s">
        <v>40</v>
      </c>
      <c r="K93" s="8" t="s">
        <v>40</v>
      </c>
      <c r="L93" s="7" t="s">
        <v>41</v>
      </c>
      <c r="M93" s="7" t="s">
        <v>41</v>
      </c>
      <c r="N93" s="7" t="s">
        <v>41</v>
      </c>
    </row>
    <row r="94" ht="36" customHeight="1" spans="1:14" x14ac:dyDescent="0.25">
      <c r="A94" s="7" t="s">
        <v>1260</v>
      </c>
      <c r="B94" s="7" t="s">
        <v>1153</v>
      </c>
      <c r="C94" s="7" t="s">
        <v>1261</v>
      </c>
      <c r="D94" s="7" t="s">
        <v>51</v>
      </c>
      <c r="E94" s="7" t="s">
        <v>1262</v>
      </c>
      <c r="F94" s="7" t="s">
        <v>1213</v>
      </c>
      <c r="G94" s="7" t="s">
        <v>1263</v>
      </c>
      <c r="H94" s="7" t="s">
        <v>1264</v>
      </c>
      <c r="I94" s="8" t="s">
        <v>39</v>
      </c>
      <c r="J94" s="8" t="s">
        <v>40</v>
      </c>
      <c r="K94" s="8" t="s">
        <v>40</v>
      </c>
      <c r="L94" s="7" t="s">
        <v>41</v>
      </c>
      <c r="M94" s="7" t="s">
        <v>41</v>
      </c>
      <c r="N94" s="7" t="s">
        <v>41</v>
      </c>
    </row>
    <row r="95" ht="36" customHeight="1" spans="1:14" x14ac:dyDescent="0.25">
      <c r="A95" s="9" t="s">
        <v>1265</v>
      </c>
      <c r="B95" s="9" t="s">
        <v>1153</v>
      </c>
      <c r="C95" s="9" t="s">
        <v>1266</v>
      </c>
      <c r="D95" s="9" t="s">
        <v>51</v>
      </c>
      <c r="E95" s="9" t="s">
        <v>1267</v>
      </c>
      <c r="F95" s="9" t="s">
        <v>1213</v>
      </c>
      <c r="G95" s="9" t="s">
        <v>7</v>
      </c>
      <c r="H95" s="9" t="s">
        <v>1268</v>
      </c>
      <c r="I95" s="8" t="s">
        <v>39</v>
      </c>
      <c r="J95" s="8" t="s">
        <v>40</v>
      </c>
      <c r="K95" s="8" t="s">
        <v>40</v>
      </c>
      <c r="L95" s="7" t="s">
        <v>41</v>
      </c>
      <c r="M95" s="7" t="s">
        <v>41</v>
      </c>
      <c r="N95" s="7" t="s">
        <v>41</v>
      </c>
    </row>
    <row r="96" ht="36" customHeight="1" spans="1:14" x14ac:dyDescent="0.25">
      <c r="A96" s="7" t="s">
        <v>1269</v>
      </c>
      <c r="B96" s="7" t="s">
        <v>1153</v>
      </c>
      <c r="C96" s="7" t="s">
        <v>1270</v>
      </c>
      <c r="D96" s="7" t="s">
        <v>51</v>
      </c>
      <c r="E96" s="7" t="s">
        <v>1271</v>
      </c>
      <c r="F96" s="7" t="s">
        <v>1272</v>
      </c>
      <c r="G96" s="7" t="s">
        <v>1273</v>
      </c>
      <c r="H96" s="7" t="s">
        <v>1274</v>
      </c>
      <c r="I96" s="8" t="s">
        <v>39</v>
      </c>
      <c r="J96" s="8" t="s">
        <v>40</v>
      </c>
      <c r="K96" s="8" t="s">
        <v>40</v>
      </c>
      <c r="L96" s="7" t="s">
        <v>41</v>
      </c>
      <c r="M96" s="7" t="s">
        <v>41</v>
      </c>
      <c r="N96" s="7" t="s">
        <v>41</v>
      </c>
    </row>
    <row r="97" ht="36" customHeight="1" spans="1:14" x14ac:dyDescent="0.25">
      <c r="A97" s="9" t="s">
        <v>1275</v>
      </c>
      <c r="B97" s="9" t="s">
        <v>1153</v>
      </c>
      <c r="C97" s="9" t="s">
        <v>1276</v>
      </c>
      <c r="D97" s="9" t="s">
        <v>51</v>
      </c>
      <c r="E97" s="9" t="s">
        <v>1277</v>
      </c>
      <c r="F97" s="9" t="s">
        <v>1278</v>
      </c>
      <c r="G97" s="9" t="s">
        <v>1279</v>
      </c>
      <c r="H97" s="9" t="s">
        <v>1280</v>
      </c>
      <c r="I97" s="8" t="s">
        <v>39</v>
      </c>
      <c r="J97" s="8" t="s">
        <v>40</v>
      </c>
      <c r="K97" s="8" t="s">
        <v>40</v>
      </c>
      <c r="L97" s="7" t="s">
        <v>41</v>
      </c>
      <c r="M97" s="7" t="s">
        <v>41</v>
      </c>
      <c r="N97" s="7" t="s">
        <v>41</v>
      </c>
    </row>
    <row r="98" ht="36" customHeight="1" spans="1:14" x14ac:dyDescent="0.25">
      <c r="A98" s="7" t="s">
        <v>1281</v>
      </c>
      <c r="B98" s="7" t="s">
        <v>1153</v>
      </c>
      <c r="C98" s="7" t="s">
        <v>1282</v>
      </c>
      <c r="D98" s="7" t="s">
        <v>51</v>
      </c>
      <c r="E98" s="7" t="s">
        <v>204</v>
      </c>
      <c r="F98" s="7" t="s">
        <v>1283</v>
      </c>
      <c r="G98" s="7" t="s">
        <v>1284</v>
      </c>
      <c r="H98" s="7" t="s">
        <v>1285</v>
      </c>
      <c r="I98" s="8" t="s">
        <v>39</v>
      </c>
      <c r="J98" s="8" t="s">
        <v>40</v>
      </c>
      <c r="K98" s="8" t="s">
        <v>40</v>
      </c>
      <c r="L98" s="7" t="s">
        <v>41</v>
      </c>
      <c r="M98" s="7" t="s">
        <v>41</v>
      </c>
      <c r="N98" s="7" t="s">
        <v>41</v>
      </c>
    </row>
    <row r="99" ht="36" customHeight="1" spans="1:14" x14ac:dyDescent="0.25">
      <c r="A99" s="9" t="s">
        <v>1286</v>
      </c>
      <c r="B99" s="9" t="s">
        <v>1153</v>
      </c>
      <c r="C99" s="9" t="s">
        <v>1287</v>
      </c>
      <c r="D99" s="9" t="s">
        <v>51</v>
      </c>
      <c r="E99" s="9" t="s">
        <v>1288</v>
      </c>
      <c r="F99" s="9" t="s">
        <v>1289</v>
      </c>
      <c r="G99" s="9" t="s">
        <v>1290</v>
      </c>
      <c r="H99" s="9" t="s">
        <v>1291</v>
      </c>
      <c r="I99" s="8" t="s">
        <v>39</v>
      </c>
      <c r="J99" s="8" t="s">
        <v>40</v>
      </c>
      <c r="K99" s="8" t="s">
        <v>40</v>
      </c>
      <c r="L99" s="7" t="s">
        <v>41</v>
      </c>
      <c r="M99" s="7" t="s">
        <v>41</v>
      </c>
      <c r="N99" s="7" t="s">
        <v>41</v>
      </c>
    </row>
    <row r="100" ht="36" customHeight="1" spans="1:14" x14ac:dyDescent="0.25">
      <c r="A100" s="7" t="s">
        <v>1292</v>
      </c>
      <c r="B100" s="7" t="s">
        <v>1153</v>
      </c>
      <c r="C100" s="7" t="s">
        <v>1293</v>
      </c>
      <c r="D100" s="7" t="s">
        <v>51</v>
      </c>
      <c r="E100" s="7" t="s">
        <v>1294</v>
      </c>
      <c r="F100" s="7" t="s">
        <v>1295</v>
      </c>
      <c r="G100" s="7" t="s">
        <v>1296</v>
      </c>
      <c r="H100" s="7" t="s">
        <v>1297</v>
      </c>
      <c r="I100" s="8" t="s">
        <v>39</v>
      </c>
      <c r="J100" s="8" t="s">
        <v>40</v>
      </c>
      <c r="K100" s="8" t="s">
        <v>40</v>
      </c>
      <c r="L100" s="7" t="s">
        <v>41</v>
      </c>
      <c r="M100" s="7" t="s">
        <v>41</v>
      </c>
      <c r="N100" s="7" t="s">
        <v>41</v>
      </c>
    </row>
    <row r="101" ht="36" customHeight="1" spans="1:14" x14ac:dyDescent="0.25">
      <c r="A101" s="9" t="s">
        <v>1298</v>
      </c>
      <c r="B101" s="9" t="s">
        <v>1153</v>
      </c>
      <c r="C101" s="9" t="s">
        <v>1299</v>
      </c>
      <c r="D101" s="9" t="s">
        <v>469</v>
      </c>
      <c r="E101" s="9" t="s">
        <v>470</v>
      </c>
      <c r="F101" s="9" t="s">
        <v>457</v>
      </c>
      <c r="G101" s="9" t="s">
        <v>1151</v>
      </c>
      <c r="H101" s="9" t="s">
        <v>1300</v>
      </c>
      <c r="I101" s="8" t="s">
        <v>39</v>
      </c>
      <c r="J101" s="8" t="s">
        <v>40</v>
      </c>
      <c r="K101" s="8" t="s">
        <v>40</v>
      </c>
      <c r="L101" s="7" t="s">
        <v>41</v>
      </c>
      <c r="M101" s="7" t="s">
        <v>41</v>
      </c>
      <c r="N101" s="7" t="s">
        <v>41</v>
      </c>
    </row>
    <row r="102" ht="36" customHeight="1" spans="1:14" x14ac:dyDescent="0.25">
      <c r="A102" s="7" t="s">
        <v>1301</v>
      </c>
      <c r="B102" s="7" t="s">
        <v>1153</v>
      </c>
      <c r="C102" s="7" t="s">
        <v>1302</v>
      </c>
      <c r="D102" s="7" t="s">
        <v>51</v>
      </c>
      <c r="E102" s="7" t="s">
        <v>1303</v>
      </c>
      <c r="F102" s="7" t="s">
        <v>1173</v>
      </c>
      <c r="G102" s="7" t="s">
        <v>1304</v>
      </c>
      <c r="H102" s="7" t="s">
        <v>1305</v>
      </c>
      <c r="I102" s="8" t="s">
        <v>39</v>
      </c>
      <c r="J102" s="8" t="s">
        <v>40</v>
      </c>
      <c r="K102" s="8" t="s">
        <v>40</v>
      </c>
      <c r="L102" s="7" t="s">
        <v>41</v>
      </c>
      <c r="M102" s="7" t="s">
        <v>41</v>
      </c>
      <c r="N102" s="7" t="s">
        <v>41</v>
      </c>
    </row>
    <row r="103" ht="36" customHeight="1" spans="1:14" x14ac:dyDescent="0.25">
      <c r="A103" s="9" t="s">
        <v>1306</v>
      </c>
      <c r="B103" s="9" t="s">
        <v>1307</v>
      </c>
      <c r="C103" s="9" t="s">
        <v>1308</v>
      </c>
      <c r="D103" s="9" t="s">
        <v>469</v>
      </c>
      <c r="E103" s="9" t="s">
        <v>1309</v>
      </c>
      <c r="F103" s="9" t="s">
        <v>1310</v>
      </c>
      <c r="G103" s="9" t="s">
        <v>1311</v>
      </c>
      <c r="H103" s="9" t="s">
        <v>1312</v>
      </c>
      <c r="I103" s="8" t="s">
        <v>39</v>
      </c>
      <c r="J103" s="8" t="s">
        <v>40</v>
      </c>
      <c r="K103" s="8" t="s">
        <v>40</v>
      </c>
      <c r="L103" s="7" t="s">
        <v>41</v>
      </c>
      <c r="M103" s="7" t="s">
        <v>41</v>
      </c>
      <c r="N103" s="7" t="s">
        <v>41</v>
      </c>
    </row>
    <row r="104" ht="36" customHeight="1" spans="1:14" x14ac:dyDescent="0.25">
      <c r="A104" s="7" t="s">
        <v>1313</v>
      </c>
      <c r="B104" s="7" t="s">
        <v>1307</v>
      </c>
      <c r="C104" s="7" t="s">
        <v>1314</v>
      </c>
      <c r="D104" s="7" t="s">
        <v>469</v>
      </c>
      <c r="E104" s="7" t="s">
        <v>1315</v>
      </c>
      <c r="F104" s="7" t="s">
        <v>1316</v>
      </c>
      <c r="G104" s="7" t="s">
        <v>1317</v>
      </c>
      <c r="H104" s="7" t="s">
        <v>1318</v>
      </c>
      <c r="I104" s="8" t="s">
        <v>39</v>
      </c>
      <c r="J104" s="8" t="s">
        <v>40</v>
      </c>
      <c r="K104" s="8" t="s">
        <v>40</v>
      </c>
      <c r="L104" s="7" t="s">
        <v>41</v>
      </c>
      <c r="M104" s="7" t="s">
        <v>41</v>
      </c>
      <c r="N104" s="7" t="s">
        <v>41</v>
      </c>
    </row>
    <row r="105" ht="36" customHeight="1" spans="1:14" x14ac:dyDescent="0.25">
      <c r="A105" s="9" t="s">
        <v>1319</v>
      </c>
      <c r="B105" s="9" t="s">
        <v>1307</v>
      </c>
      <c r="C105" s="9" t="s">
        <v>1320</v>
      </c>
      <c r="D105" s="9" t="s">
        <v>469</v>
      </c>
      <c r="E105" s="9" t="s">
        <v>204</v>
      </c>
      <c r="F105" s="9" t="s">
        <v>1321</v>
      </c>
      <c r="G105" s="9" t="s">
        <v>1322</v>
      </c>
      <c r="H105" s="9" t="s">
        <v>1323</v>
      </c>
      <c r="I105" s="8" t="s">
        <v>39</v>
      </c>
      <c r="J105" s="8" t="s">
        <v>40</v>
      </c>
      <c r="K105" s="8" t="s">
        <v>40</v>
      </c>
      <c r="L105" s="7" t="s">
        <v>41</v>
      </c>
      <c r="M105" s="7" t="s">
        <v>41</v>
      </c>
      <c r="N105" s="7" t="s">
        <v>41</v>
      </c>
    </row>
    <row r="106" ht="36" customHeight="1" spans="1:14" x14ac:dyDescent="0.25">
      <c r="A106" s="7" t="s">
        <v>1324</v>
      </c>
      <c r="B106" s="7" t="s">
        <v>1307</v>
      </c>
      <c r="C106" s="7" t="s">
        <v>1325</v>
      </c>
      <c r="D106" s="7" t="s">
        <v>469</v>
      </c>
      <c r="E106" s="7" t="s">
        <v>204</v>
      </c>
      <c r="F106" s="7" t="s">
        <v>1213</v>
      </c>
      <c r="G106" s="7" t="s">
        <v>1326</v>
      </c>
      <c r="H106" s="7" t="s">
        <v>1323</v>
      </c>
      <c r="I106" s="8" t="s">
        <v>39</v>
      </c>
      <c r="J106" s="8" t="s">
        <v>40</v>
      </c>
      <c r="K106" s="8" t="s">
        <v>40</v>
      </c>
      <c r="L106" s="7" t="s">
        <v>41</v>
      </c>
      <c r="M106" s="7" t="s">
        <v>41</v>
      </c>
      <c r="N106" s="7" t="s">
        <v>41</v>
      </c>
    </row>
    <row r="107" ht="36" customHeight="1" spans="1:14" x14ac:dyDescent="0.25">
      <c r="A107" s="9" t="s">
        <v>1327</v>
      </c>
      <c r="B107" s="9" t="s">
        <v>1307</v>
      </c>
      <c r="C107" s="9" t="s">
        <v>1328</v>
      </c>
      <c r="D107" s="9" t="s">
        <v>1329</v>
      </c>
      <c r="E107" s="9" t="s">
        <v>1330</v>
      </c>
      <c r="F107" s="9" t="s">
        <v>1331</v>
      </c>
      <c r="G107" s="9" t="s">
        <v>1332</v>
      </c>
      <c r="H107" s="9" t="s">
        <v>1333</v>
      </c>
      <c r="I107" s="8" t="s">
        <v>39</v>
      </c>
      <c r="J107" s="8" t="s">
        <v>40</v>
      </c>
      <c r="K107" s="8" t="s">
        <v>40</v>
      </c>
      <c r="L107" s="7" t="s">
        <v>41</v>
      </c>
      <c r="M107" s="7" t="s">
        <v>41</v>
      </c>
      <c r="N107" s="7" t="s">
        <v>41</v>
      </c>
    </row>
    <row r="108" ht="36" customHeight="1" spans="1:14" x14ac:dyDescent="0.25">
      <c r="A108" s="7" t="s">
        <v>1334</v>
      </c>
      <c r="B108" s="7" t="s">
        <v>1307</v>
      </c>
      <c r="C108" s="7" t="s">
        <v>1335</v>
      </c>
      <c r="D108" s="7" t="s">
        <v>1329</v>
      </c>
      <c r="E108" s="7" t="s">
        <v>204</v>
      </c>
      <c r="F108" s="7" t="s">
        <v>1336</v>
      </c>
      <c r="G108" s="7" t="s">
        <v>1337</v>
      </c>
      <c r="H108" s="7" t="s">
        <v>1338</v>
      </c>
      <c r="I108" s="8" t="s">
        <v>39</v>
      </c>
      <c r="J108" s="8" t="s">
        <v>40</v>
      </c>
      <c r="K108" s="8" t="s">
        <v>40</v>
      </c>
      <c r="L108" s="7" t="s">
        <v>41</v>
      </c>
      <c r="M108" s="7" t="s">
        <v>41</v>
      </c>
      <c r="N108" s="7" t="s">
        <v>41</v>
      </c>
    </row>
    <row r="109" ht="36" customHeight="1" spans="1:14" x14ac:dyDescent="0.25">
      <c r="A109" s="9" t="s">
        <v>1339</v>
      </c>
      <c r="B109" s="9" t="s">
        <v>1307</v>
      </c>
      <c r="C109" s="9" t="s">
        <v>1340</v>
      </c>
      <c r="D109" s="9" t="s">
        <v>469</v>
      </c>
      <c r="E109" s="9" t="s">
        <v>1341</v>
      </c>
      <c r="F109" s="9" t="s">
        <v>1342</v>
      </c>
      <c r="G109" s="9" t="s">
        <v>7</v>
      </c>
      <c r="H109" s="9" t="s">
        <v>1343</v>
      </c>
      <c r="I109" s="8" t="s">
        <v>39</v>
      </c>
      <c r="J109" s="8" t="s">
        <v>40</v>
      </c>
      <c r="K109" s="8" t="s">
        <v>40</v>
      </c>
      <c r="L109" s="7" t="s">
        <v>41</v>
      </c>
      <c r="M109" s="7" t="s">
        <v>41</v>
      </c>
      <c r="N109" s="7" t="s">
        <v>41</v>
      </c>
    </row>
    <row r="110" ht="36" customHeight="1" spans="1:14" x14ac:dyDescent="0.25">
      <c r="A110" s="7" t="s">
        <v>1344</v>
      </c>
      <c r="B110" s="7" t="s">
        <v>1307</v>
      </c>
      <c r="C110" s="7" t="s">
        <v>1345</v>
      </c>
      <c r="D110" s="7" t="s">
        <v>91</v>
      </c>
      <c r="E110" s="7" t="s">
        <v>1346</v>
      </c>
      <c r="F110" s="7" t="s">
        <v>1347</v>
      </c>
      <c r="G110" s="7" t="s">
        <v>1348</v>
      </c>
      <c r="H110" s="7" t="s">
        <v>1349</v>
      </c>
      <c r="I110" s="8" t="s">
        <v>39</v>
      </c>
      <c r="J110" s="8" t="s">
        <v>40</v>
      </c>
      <c r="K110" s="8" t="s">
        <v>40</v>
      </c>
      <c r="L110" s="7" t="s">
        <v>41</v>
      </c>
      <c r="M110" s="7" t="s">
        <v>41</v>
      </c>
      <c r="N110" s="7" t="s">
        <v>41</v>
      </c>
    </row>
    <row r="111" ht="36" customHeight="1" spans="1:14" x14ac:dyDescent="0.25">
      <c r="A111" s="9" t="s">
        <v>1350</v>
      </c>
      <c r="B111" s="9" t="s">
        <v>1307</v>
      </c>
      <c r="C111" s="9" t="s">
        <v>1108</v>
      </c>
      <c r="D111" s="9" t="s">
        <v>469</v>
      </c>
      <c r="E111" s="9" t="s">
        <v>1109</v>
      </c>
      <c r="F111" s="9" t="s">
        <v>9</v>
      </c>
      <c r="G111" s="9" t="s">
        <v>1351</v>
      </c>
      <c r="H111" s="9" t="s">
        <v>1352</v>
      </c>
      <c r="I111" s="8" t="s">
        <v>39</v>
      </c>
      <c r="J111" s="8" t="s">
        <v>40</v>
      </c>
      <c r="K111" s="8" t="s">
        <v>40</v>
      </c>
      <c r="L111" s="7" t="s">
        <v>41</v>
      </c>
      <c r="M111" s="7" t="s">
        <v>41</v>
      </c>
      <c r="N111" s="7" t="s">
        <v>41</v>
      </c>
    </row>
    <row r="112" ht="36" customHeight="1" spans="1:14" x14ac:dyDescent="0.25">
      <c r="A112" s="7" t="s">
        <v>1353</v>
      </c>
      <c r="B112" s="7" t="s">
        <v>1307</v>
      </c>
      <c r="C112" s="7" t="s">
        <v>1354</v>
      </c>
      <c r="D112" s="7" t="s">
        <v>1355</v>
      </c>
      <c r="E112" s="7" t="s">
        <v>204</v>
      </c>
      <c r="F112" s="7" t="s">
        <v>1356</v>
      </c>
      <c r="G112" s="7" t="s">
        <v>1357</v>
      </c>
      <c r="H112" s="7" t="s">
        <v>1358</v>
      </c>
      <c r="I112" s="8" t="s">
        <v>39</v>
      </c>
      <c r="J112" s="8" t="s">
        <v>40</v>
      </c>
      <c r="K112" s="8" t="s">
        <v>40</v>
      </c>
      <c r="L112" s="7" t="s">
        <v>41</v>
      </c>
      <c r="M112" s="7" t="s">
        <v>41</v>
      </c>
      <c r="N112" s="7" t="s">
        <v>41</v>
      </c>
    </row>
    <row r="113" ht="36" customHeight="1" spans="1:14" x14ac:dyDescent="0.25">
      <c r="A113" s="9" t="s">
        <v>1359</v>
      </c>
      <c r="B113" s="9" t="s">
        <v>1307</v>
      </c>
      <c r="C113" s="9" t="s">
        <v>1360</v>
      </c>
      <c r="D113" s="9" t="s">
        <v>51</v>
      </c>
      <c r="E113" s="9" t="s">
        <v>1361</v>
      </c>
      <c r="F113" s="9" t="s">
        <v>522</v>
      </c>
      <c r="G113" s="9" t="s">
        <v>1151</v>
      </c>
      <c r="H113" s="9" t="s">
        <v>693</v>
      </c>
      <c r="I113" s="8" t="s">
        <v>39</v>
      </c>
      <c r="J113" s="8" t="s">
        <v>40</v>
      </c>
      <c r="K113" s="8" t="s">
        <v>40</v>
      </c>
      <c r="L113" s="7" t="s">
        <v>41</v>
      </c>
      <c r="M113" s="7" t="s">
        <v>41</v>
      </c>
      <c r="N113" s="7" t="s">
        <v>41</v>
      </c>
    </row>
    <row r="114" ht="36" customHeight="1" spans="1:14" x14ac:dyDescent="0.25">
      <c r="A114" s="7" t="s">
        <v>1362</v>
      </c>
      <c r="B114" s="7" t="s">
        <v>1363</v>
      </c>
      <c r="C114" s="7" t="s">
        <v>1364</v>
      </c>
      <c r="D114" s="7" t="s">
        <v>220</v>
      </c>
      <c r="E114" s="7" t="s">
        <v>1365</v>
      </c>
      <c r="F114" s="7" t="s">
        <v>1366</v>
      </c>
      <c r="G114" s="7" t="s">
        <v>1367</v>
      </c>
      <c r="H114" s="7" t="s">
        <v>1368</v>
      </c>
      <c r="I114" s="8" t="s">
        <v>39</v>
      </c>
      <c r="J114" s="8" t="s">
        <v>40</v>
      </c>
      <c r="K114" s="8" t="s">
        <v>40</v>
      </c>
      <c r="L114" s="7" t="s">
        <v>41</v>
      </c>
      <c r="M114" s="7" t="s">
        <v>41</v>
      </c>
      <c r="N114" s="7" t="s">
        <v>41</v>
      </c>
    </row>
    <row r="115" ht="36" customHeight="1" spans="1:14" x14ac:dyDescent="0.25">
      <c r="A115" s="9" t="s">
        <v>1369</v>
      </c>
      <c r="B115" s="9" t="s">
        <v>1363</v>
      </c>
      <c r="C115" s="9" t="s">
        <v>1370</v>
      </c>
      <c r="D115" s="9" t="s">
        <v>220</v>
      </c>
      <c r="E115" s="9" t="s">
        <v>204</v>
      </c>
      <c r="F115" s="9" t="s">
        <v>1371</v>
      </c>
      <c r="G115" s="9" t="s">
        <v>1372</v>
      </c>
      <c r="H115" s="9" t="s">
        <v>1373</v>
      </c>
      <c r="I115" s="8" t="s">
        <v>39</v>
      </c>
      <c r="J115" s="8" t="s">
        <v>40</v>
      </c>
      <c r="K115" s="8" t="s">
        <v>40</v>
      </c>
      <c r="L115" s="7" t="s">
        <v>41</v>
      </c>
      <c r="M115" s="7" t="s">
        <v>41</v>
      </c>
      <c r="N115" s="7" t="s">
        <v>41</v>
      </c>
    </row>
    <row r="116" ht="36" customHeight="1" spans="1:14" x14ac:dyDescent="0.25">
      <c r="A116" s="7" t="s">
        <v>1374</v>
      </c>
      <c r="B116" s="7" t="s">
        <v>1363</v>
      </c>
      <c r="C116" s="7" t="s">
        <v>1375</v>
      </c>
      <c r="D116" s="7" t="s">
        <v>220</v>
      </c>
      <c r="E116" s="7" t="s">
        <v>1195</v>
      </c>
      <c r="F116" s="7" t="s">
        <v>1376</v>
      </c>
      <c r="G116" s="7" t="s">
        <v>1377</v>
      </c>
      <c r="H116" s="7" t="s">
        <v>1378</v>
      </c>
      <c r="I116" s="8" t="s">
        <v>39</v>
      </c>
      <c r="J116" s="8" t="s">
        <v>40</v>
      </c>
      <c r="K116" s="8" t="s">
        <v>40</v>
      </c>
      <c r="L116" s="7" t="s">
        <v>41</v>
      </c>
      <c r="M116" s="7" t="s">
        <v>41</v>
      </c>
      <c r="N116" s="7" t="s">
        <v>41</v>
      </c>
    </row>
    <row r="117" ht="36" customHeight="1" spans="1:14" x14ac:dyDescent="0.25">
      <c r="A117" s="9" t="s">
        <v>1379</v>
      </c>
      <c r="B117" s="9" t="s">
        <v>1363</v>
      </c>
      <c r="C117" s="9" t="s">
        <v>1380</v>
      </c>
      <c r="D117" s="9" t="s">
        <v>220</v>
      </c>
      <c r="E117" s="9" t="s">
        <v>204</v>
      </c>
      <c r="F117" s="9" t="s">
        <v>1381</v>
      </c>
      <c r="G117" s="9" t="s">
        <v>1382</v>
      </c>
      <c r="H117" s="9" t="s">
        <v>1383</v>
      </c>
      <c r="I117" s="8" t="s">
        <v>39</v>
      </c>
      <c r="J117" s="8" t="s">
        <v>40</v>
      </c>
      <c r="K117" s="8" t="s">
        <v>40</v>
      </c>
      <c r="L117" s="7" t="s">
        <v>41</v>
      </c>
      <c r="M117" s="7" t="s">
        <v>41</v>
      </c>
      <c r="N117" s="7" t="s">
        <v>41</v>
      </c>
    </row>
    <row r="118" ht="36" customHeight="1" spans="1:14" x14ac:dyDescent="0.25">
      <c r="A118" s="7" t="s">
        <v>1384</v>
      </c>
      <c r="B118" s="7" t="s">
        <v>1363</v>
      </c>
      <c r="C118" s="7" t="s">
        <v>1385</v>
      </c>
      <c r="D118" s="7" t="s">
        <v>1386</v>
      </c>
      <c r="E118" s="7" t="s">
        <v>1250</v>
      </c>
      <c r="F118" s="7" t="s">
        <v>1387</v>
      </c>
      <c r="G118" s="7" t="s">
        <v>1388</v>
      </c>
      <c r="H118" s="7" t="s">
        <v>1389</v>
      </c>
      <c r="I118" s="8" t="s">
        <v>39</v>
      </c>
      <c r="J118" s="8" t="s">
        <v>40</v>
      </c>
      <c r="K118" s="8" t="s">
        <v>40</v>
      </c>
      <c r="L118" s="7" t="s">
        <v>41</v>
      </c>
      <c r="M118" s="7" t="s">
        <v>41</v>
      </c>
      <c r="N118" s="7" t="s">
        <v>41</v>
      </c>
    </row>
    <row r="119" ht="36" customHeight="1" spans="1:14" x14ac:dyDescent="0.25">
      <c r="A119" s="9" t="s">
        <v>1390</v>
      </c>
      <c r="B119" s="9" t="s">
        <v>1363</v>
      </c>
      <c r="C119" s="9" t="s">
        <v>1391</v>
      </c>
      <c r="D119" s="9" t="s">
        <v>51</v>
      </c>
      <c r="E119" s="9" t="s">
        <v>1392</v>
      </c>
      <c r="F119" s="9" t="s">
        <v>1393</v>
      </c>
      <c r="G119" s="9" t="s">
        <v>1394</v>
      </c>
      <c r="H119" s="9" t="s">
        <v>1395</v>
      </c>
      <c r="I119" s="8" t="s">
        <v>39</v>
      </c>
      <c r="J119" s="8" t="s">
        <v>40</v>
      </c>
      <c r="K119" s="8" t="s">
        <v>40</v>
      </c>
      <c r="L119" s="7" t="s">
        <v>41</v>
      </c>
      <c r="M119" s="7" t="s">
        <v>41</v>
      </c>
      <c r="N119" s="7" t="s">
        <v>41</v>
      </c>
    </row>
    <row r="120" ht="36" customHeight="1" spans="1:14" x14ac:dyDescent="0.25">
      <c r="A120" s="7" t="s">
        <v>1396</v>
      </c>
      <c r="B120" s="7" t="s">
        <v>1363</v>
      </c>
      <c r="C120" s="7" t="s">
        <v>1397</v>
      </c>
      <c r="D120" s="7" t="s">
        <v>51</v>
      </c>
      <c r="E120" s="7" t="s">
        <v>1398</v>
      </c>
      <c r="F120" s="7" t="s">
        <v>1213</v>
      </c>
      <c r="G120" s="7" t="s">
        <v>1326</v>
      </c>
      <c r="H120" s="7" t="s">
        <v>1399</v>
      </c>
      <c r="I120" s="8" t="s">
        <v>39</v>
      </c>
      <c r="J120" s="8" t="s">
        <v>40</v>
      </c>
      <c r="K120" s="8" t="s">
        <v>40</v>
      </c>
      <c r="L120" s="7" t="s">
        <v>41</v>
      </c>
      <c r="M120" s="7" t="s">
        <v>41</v>
      </c>
      <c r="N120" s="7" t="s">
        <v>41</v>
      </c>
    </row>
    <row r="121" ht="36" customHeight="1" spans="1:14" x14ac:dyDescent="0.25">
      <c r="A121" s="9" t="s">
        <v>1400</v>
      </c>
      <c r="B121" s="9" t="s">
        <v>1363</v>
      </c>
      <c r="C121" s="9" t="s">
        <v>1401</v>
      </c>
      <c r="D121" s="9" t="s">
        <v>220</v>
      </c>
      <c r="E121" s="9" t="s">
        <v>1402</v>
      </c>
      <c r="F121" s="9" t="s">
        <v>1393</v>
      </c>
      <c r="G121" s="9" t="s">
        <v>1403</v>
      </c>
      <c r="H121" s="9" t="s">
        <v>1404</v>
      </c>
      <c r="I121" s="8" t="s">
        <v>39</v>
      </c>
      <c r="J121" s="8" t="s">
        <v>40</v>
      </c>
      <c r="K121" s="8" t="s">
        <v>40</v>
      </c>
      <c r="L121" s="7" t="s">
        <v>41</v>
      </c>
      <c r="M121" s="7" t="s">
        <v>41</v>
      </c>
      <c r="N121" s="7" t="s">
        <v>41</v>
      </c>
    </row>
    <row r="122" ht="36" customHeight="1" spans="1:14" x14ac:dyDescent="0.25">
      <c r="A122" s="7" t="s">
        <v>1405</v>
      </c>
      <c r="B122" s="7" t="s">
        <v>1363</v>
      </c>
      <c r="C122" s="7" t="s">
        <v>1406</v>
      </c>
      <c r="D122" s="7" t="s">
        <v>220</v>
      </c>
      <c r="E122" s="7" t="s">
        <v>1407</v>
      </c>
      <c r="F122" s="7" t="s">
        <v>1173</v>
      </c>
      <c r="G122" s="7" t="s">
        <v>1408</v>
      </c>
      <c r="H122" s="7" t="s">
        <v>1248</v>
      </c>
      <c r="I122" s="8" t="s">
        <v>39</v>
      </c>
      <c r="J122" s="8" t="s">
        <v>40</v>
      </c>
      <c r="K122" s="8" t="s">
        <v>40</v>
      </c>
      <c r="L122" s="7" t="s">
        <v>41</v>
      </c>
      <c r="M122" s="7" t="s">
        <v>41</v>
      </c>
      <c r="N122" s="7" t="s">
        <v>41</v>
      </c>
    </row>
    <row r="123" ht="36" customHeight="1" spans="1:14" x14ac:dyDescent="0.25">
      <c r="A123" s="9" t="s">
        <v>1409</v>
      </c>
      <c r="B123" s="9" t="s">
        <v>1363</v>
      </c>
      <c r="C123" s="9" t="s">
        <v>1410</v>
      </c>
      <c r="D123" s="9" t="s">
        <v>220</v>
      </c>
      <c r="E123" s="9" t="s">
        <v>1146</v>
      </c>
      <c r="F123" s="9" t="s">
        <v>1411</v>
      </c>
      <c r="G123" s="9" t="s">
        <v>1145</v>
      </c>
      <c r="H123" s="9" t="s">
        <v>1412</v>
      </c>
      <c r="I123" s="8" t="s">
        <v>39</v>
      </c>
      <c r="J123" s="8" t="s">
        <v>40</v>
      </c>
      <c r="K123" s="8" t="s">
        <v>40</v>
      </c>
      <c r="L123" s="7" t="s">
        <v>41</v>
      </c>
      <c r="M123" s="7" t="s">
        <v>41</v>
      </c>
      <c r="N123" s="7" t="s">
        <v>41</v>
      </c>
    </row>
    <row r="124" ht="36" customHeight="1" spans="1:14" x14ac:dyDescent="0.25">
      <c r="A124" s="7" t="s">
        <v>1413</v>
      </c>
      <c r="B124" s="7" t="s">
        <v>1363</v>
      </c>
      <c r="C124" s="7" t="s">
        <v>1414</v>
      </c>
      <c r="D124" s="7" t="s">
        <v>220</v>
      </c>
      <c r="E124" s="7" t="s">
        <v>1038</v>
      </c>
      <c r="F124" s="7" t="s">
        <v>1415</v>
      </c>
      <c r="G124" s="7" t="s">
        <v>1416</v>
      </c>
      <c r="H124" s="7" t="s">
        <v>1417</v>
      </c>
      <c r="I124" s="8" t="s">
        <v>39</v>
      </c>
      <c r="J124" s="8" t="s">
        <v>40</v>
      </c>
      <c r="K124" s="8" t="s">
        <v>40</v>
      </c>
      <c r="L124" s="7" t="s">
        <v>41</v>
      </c>
      <c r="M124" s="7" t="s">
        <v>41</v>
      </c>
      <c r="N124" s="7" t="s">
        <v>41</v>
      </c>
    </row>
    <row r="125" ht="36" customHeight="1" spans="1:14" x14ac:dyDescent="0.25">
      <c r="A125" s="9" t="s">
        <v>1418</v>
      </c>
      <c r="B125" s="9" t="s">
        <v>1363</v>
      </c>
      <c r="C125" s="9" t="s">
        <v>1419</v>
      </c>
      <c r="D125" s="9" t="s">
        <v>220</v>
      </c>
      <c r="E125" s="9" t="s">
        <v>1420</v>
      </c>
      <c r="F125" s="9" t="s">
        <v>1421</v>
      </c>
      <c r="G125" s="9" t="s">
        <v>1422</v>
      </c>
      <c r="H125" s="9" t="s">
        <v>1368</v>
      </c>
      <c r="I125" s="8" t="s">
        <v>39</v>
      </c>
      <c r="J125" s="8" t="s">
        <v>40</v>
      </c>
      <c r="K125" s="8" t="s">
        <v>40</v>
      </c>
      <c r="L125" s="7" t="s">
        <v>41</v>
      </c>
      <c r="M125" s="7" t="s">
        <v>41</v>
      </c>
      <c r="N125" s="7" t="s">
        <v>41</v>
      </c>
    </row>
    <row r="126" ht="36" customHeight="1" spans="1:14" x14ac:dyDescent="0.25">
      <c r="A126" s="7" t="s">
        <v>1423</v>
      </c>
      <c r="B126" s="7" t="s">
        <v>1424</v>
      </c>
      <c r="C126" s="7" t="s">
        <v>1425</v>
      </c>
      <c r="D126" s="7" t="s">
        <v>220</v>
      </c>
      <c r="E126" s="7" t="s">
        <v>1426</v>
      </c>
      <c r="F126" s="7" t="s">
        <v>1427</v>
      </c>
      <c r="G126" s="7" t="s">
        <v>1428</v>
      </c>
      <c r="H126" s="7" t="s">
        <v>1429</v>
      </c>
      <c r="I126" s="8" t="s">
        <v>39</v>
      </c>
      <c r="J126" s="8" t="s">
        <v>40</v>
      </c>
      <c r="K126" s="8" t="s">
        <v>40</v>
      </c>
      <c r="L126" s="7" t="s">
        <v>41</v>
      </c>
      <c r="M126" s="7" t="s">
        <v>41</v>
      </c>
      <c r="N126" s="7" t="s">
        <v>41</v>
      </c>
    </row>
    <row r="127" ht="36" customHeight="1" spans="1:14" x14ac:dyDescent="0.25">
      <c r="A127" s="9" t="s">
        <v>1430</v>
      </c>
      <c r="B127" s="9" t="s">
        <v>1424</v>
      </c>
      <c r="C127" s="9" t="s">
        <v>1431</v>
      </c>
      <c r="D127" s="9" t="s">
        <v>220</v>
      </c>
      <c r="E127" s="9" t="s">
        <v>204</v>
      </c>
      <c r="F127" s="9" t="s">
        <v>1432</v>
      </c>
      <c r="G127" s="9" t="s">
        <v>1431</v>
      </c>
      <c r="H127" s="9" t="s">
        <v>1433</v>
      </c>
      <c r="I127" s="8" t="s">
        <v>39</v>
      </c>
      <c r="J127" s="8" t="s">
        <v>40</v>
      </c>
      <c r="K127" s="8" t="s">
        <v>40</v>
      </c>
      <c r="L127" s="7" t="s">
        <v>41</v>
      </c>
      <c r="M127" s="7" t="s">
        <v>41</v>
      </c>
      <c r="N127" s="7" t="s">
        <v>41</v>
      </c>
    </row>
    <row r="128" ht="36" customHeight="1" spans="1:14" x14ac:dyDescent="0.25">
      <c r="A128" s="7" t="s">
        <v>1434</v>
      </c>
      <c r="B128" s="7" t="s">
        <v>1424</v>
      </c>
      <c r="C128" s="7" t="s">
        <v>1435</v>
      </c>
      <c r="D128" s="7" t="s">
        <v>220</v>
      </c>
      <c r="E128" s="7" t="s">
        <v>204</v>
      </c>
      <c r="F128" s="7" t="s">
        <v>1436</v>
      </c>
      <c r="G128" s="7" t="s">
        <v>568</v>
      </c>
      <c r="H128" s="7" t="s">
        <v>1437</v>
      </c>
      <c r="I128" s="8" t="s">
        <v>39</v>
      </c>
      <c r="J128" s="8" t="s">
        <v>40</v>
      </c>
      <c r="K128" s="8" t="s">
        <v>40</v>
      </c>
      <c r="L128" s="7" t="s">
        <v>41</v>
      </c>
      <c r="M128" s="7" t="s">
        <v>41</v>
      </c>
      <c r="N128" s="7" t="s">
        <v>41</v>
      </c>
    </row>
    <row r="129" ht="36" customHeight="1" spans="1:14" x14ac:dyDescent="0.25">
      <c r="A129" s="9" t="s">
        <v>1438</v>
      </c>
      <c r="B129" s="9" t="s">
        <v>1424</v>
      </c>
      <c r="C129" s="9" t="s">
        <v>1439</v>
      </c>
      <c r="D129" s="9" t="s">
        <v>220</v>
      </c>
      <c r="E129" s="9" t="s">
        <v>1440</v>
      </c>
      <c r="F129" s="9" t="s">
        <v>1173</v>
      </c>
      <c r="G129" s="9" t="s">
        <v>1441</v>
      </c>
      <c r="H129" s="9" t="s">
        <v>1442</v>
      </c>
      <c r="I129" s="8" t="s">
        <v>39</v>
      </c>
      <c r="J129" s="8" t="s">
        <v>40</v>
      </c>
      <c r="K129" s="8" t="s">
        <v>40</v>
      </c>
      <c r="L129" s="7" t="s">
        <v>41</v>
      </c>
      <c r="M129" s="7" t="s">
        <v>41</v>
      </c>
      <c r="N129" s="7" t="s">
        <v>41</v>
      </c>
    </row>
    <row r="130" ht="36" customHeight="1" spans="1:14" x14ac:dyDescent="0.25">
      <c r="A130" s="7" t="s">
        <v>1443</v>
      </c>
      <c r="B130" s="7" t="s">
        <v>1424</v>
      </c>
      <c r="C130" s="7" t="s">
        <v>1444</v>
      </c>
      <c r="D130" s="7" t="s">
        <v>220</v>
      </c>
      <c r="E130" s="7" t="s">
        <v>1440</v>
      </c>
      <c r="F130" s="7" t="s">
        <v>1173</v>
      </c>
      <c r="G130" s="7" t="s">
        <v>1445</v>
      </c>
      <c r="H130" s="7" t="s">
        <v>1442</v>
      </c>
      <c r="I130" s="8" t="s">
        <v>39</v>
      </c>
      <c r="J130" s="8" t="s">
        <v>40</v>
      </c>
      <c r="K130" s="8" t="s">
        <v>40</v>
      </c>
      <c r="L130" s="7" t="s">
        <v>41</v>
      </c>
      <c r="M130" s="7" t="s">
        <v>41</v>
      </c>
      <c r="N130" s="7" t="s">
        <v>41</v>
      </c>
    </row>
    <row r="131" ht="36" customHeight="1" spans="1:14" x14ac:dyDescent="0.25">
      <c r="A131" s="9" t="s">
        <v>1446</v>
      </c>
      <c r="B131" s="9" t="s">
        <v>1424</v>
      </c>
      <c r="C131" s="9" t="s">
        <v>1447</v>
      </c>
      <c r="D131" s="9" t="s">
        <v>220</v>
      </c>
      <c r="E131" s="9" t="s">
        <v>204</v>
      </c>
      <c r="F131" s="9" t="s">
        <v>1448</v>
      </c>
      <c r="G131" s="9" t="s">
        <v>1449</v>
      </c>
      <c r="H131" s="9" t="s">
        <v>1238</v>
      </c>
      <c r="I131" s="8" t="s">
        <v>39</v>
      </c>
      <c r="J131" s="8" t="s">
        <v>40</v>
      </c>
      <c r="K131" s="8" t="s">
        <v>40</v>
      </c>
      <c r="L131" s="7" t="s">
        <v>41</v>
      </c>
      <c r="M131" s="7" t="s">
        <v>41</v>
      </c>
      <c r="N131" s="7" t="s">
        <v>41</v>
      </c>
    </row>
    <row r="132" ht="36" customHeight="1" spans="1:14" x14ac:dyDescent="0.25">
      <c r="A132" s="7" t="s">
        <v>1450</v>
      </c>
      <c r="B132" s="7" t="s">
        <v>1424</v>
      </c>
      <c r="C132" s="7" t="s">
        <v>1451</v>
      </c>
      <c r="D132" s="7" t="s">
        <v>220</v>
      </c>
      <c r="E132" s="7" t="s">
        <v>1452</v>
      </c>
      <c r="F132" s="7" t="s">
        <v>1453</v>
      </c>
      <c r="G132" s="7" t="s">
        <v>1454</v>
      </c>
      <c r="H132" s="7" t="s">
        <v>1455</v>
      </c>
      <c r="I132" s="8" t="s">
        <v>39</v>
      </c>
      <c r="J132" s="8" t="s">
        <v>40</v>
      </c>
      <c r="K132" s="8" t="s">
        <v>40</v>
      </c>
      <c r="L132" s="7" t="s">
        <v>41</v>
      </c>
      <c r="M132" s="7" t="s">
        <v>41</v>
      </c>
      <c r="N132" s="7" t="s">
        <v>41</v>
      </c>
    </row>
    <row r="133" ht="36" customHeight="1" spans="1:14" x14ac:dyDescent="0.25">
      <c r="A133" s="9" t="s">
        <v>1456</v>
      </c>
      <c r="B133" s="9" t="s">
        <v>1424</v>
      </c>
      <c r="C133" s="9" t="s">
        <v>1457</v>
      </c>
      <c r="D133" s="9" t="s">
        <v>220</v>
      </c>
      <c r="E133" s="9" t="s">
        <v>204</v>
      </c>
      <c r="F133" s="9" t="s">
        <v>1458</v>
      </c>
      <c r="G133" s="9" t="s">
        <v>1459</v>
      </c>
      <c r="H133" s="9" t="s">
        <v>1460</v>
      </c>
      <c r="I133" s="8" t="s">
        <v>39</v>
      </c>
      <c r="J133" s="8" t="s">
        <v>40</v>
      </c>
      <c r="K133" s="8" t="s">
        <v>40</v>
      </c>
      <c r="L133" s="7" t="s">
        <v>41</v>
      </c>
      <c r="M133" s="7" t="s">
        <v>41</v>
      </c>
      <c r="N133" s="7" t="s">
        <v>41</v>
      </c>
    </row>
    <row r="134" ht="36" customHeight="1" spans="1:14" x14ac:dyDescent="0.25">
      <c r="A134" s="7" t="s">
        <v>1461</v>
      </c>
      <c r="B134" s="7" t="s">
        <v>1424</v>
      </c>
      <c r="C134" s="7" t="s">
        <v>1462</v>
      </c>
      <c r="D134" s="7" t="s">
        <v>220</v>
      </c>
      <c r="E134" s="7" t="s">
        <v>1463</v>
      </c>
      <c r="F134" s="7" t="s">
        <v>1173</v>
      </c>
      <c r="G134" s="7" t="s">
        <v>1464</v>
      </c>
      <c r="H134" s="7" t="s">
        <v>1248</v>
      </c>
      <c r="I134" s="8" t="s">
        <v>39</v>
      </c>
      <c r="J134" s="8" t="s">
        <v>40</v>
      </c>
      <c r="K134" s="8" t="s">
        <v>40</v>
      </c>
      <c r="L134" s="7" t="s">
        <v>41</v>
      </c>
      <c r="M134" s="7" t="s">
        <v>41</v>
      </c>
      <c r="N134" s="7" t="s">
        <v>41</v>
      </c>
    </row>
    <row r="135" ht="36" customHeight="1" spans="1:14" x14ac:dyDescent="0.25">
      <c r="A135" s="9" t="s">
        <v>1465</v>
      </c>
      <c r="B135" s="9" t="s">
        <v>1424</v>
      </c>
      <c r="C135" s="9" t="s">
        <v>1466</v>
      </c>
      <c r="D135" s="9" t="s">
        <v>220</v>
      </c>
      <c r="E135" s="9" t="s">
        <v>1467</v>
      </c>
      <c r="F135" s="9" t="s">
        <v>1468</v>
      </c>
      <c r="G135" s="9" t="s">
        <v>1469</v>
      </c>
      <c r="H135" s="9" t="s">
        <v>1470</v>
      </c>
      <c r="I135" s="8" t="s">
        <v>39</v>
      </c>
      <c r="J135" s="8" t="s">
        <v>40</v>
      </c>
      <c r="K135" s="8" t="s">
        <v>40</v>
      </c>
      <c r="L135" s="7" t="s">
        <v>41</v>
      </c>
      <c r="M135" s="7" t="s">
        <v>41</v>
      </c>
      <c r="N135" s="7" t="s">
        <v>41</v>
      </c>
    </row>
    <row r="136" ht="36" customHeight="1" spans="1:14" x14ac:dyDescent="0.25">
      <c r="A136" s="7" t="s">
        <v>1471</v>
      </c>
      <c r="B136" s="7" t="s">
        <v>1424</v>
      </c>
      <c r="C136" s="7" t="s">
        <v>1472</v>
      </c>
      <c r="D136" s="7" t="s">
        <v>220</v>
      </c>
      <c r="E136" s="7" t="s">
        <v>1146</v>
      </c>
      <c r="F136" s="7" t="s">
        <v>1411</v>
      </c>
      <c r="G136" s="7" t="s">
        <v>1145</v>
      </c>
      <c r="H136" s="7" t="s">
        <v>1473</v>
      </c>
      <c r="I136" s="8" t="s">
        <v>39</v>
      </c>
      <c r="J136" s="8" t="s">
        <v>40</v>
      </c>
      <c r="K136" s="8" t="s">
        <v>40</v>
      </c>
      <c r="L136" s="7" t="s">
        <v>41</v>
      </c>
      <c r="M136" s="7" t="s">
        <v>41</v>
      </c>
      <c r="N136" s="7" t="s">
        <v>41</v>
      </c>
    </row>
    <row r="137" ht="36" customHeight="1" spans="1:14" x14ac:dyDescent="0.25">
      <c r="A137" s="9" t="s">
        <v>1474</v>
      </c>
      <c r="B137" s="9" t="s">
        <v>1424</v>
      </c>
      <c r="C137" s="9" t="s">
        <v>1475</v>
      </c>
      <c r="D137" s="9" t="s">
        <v>220</v>
      </c>
      <c r="E137" s="9" t="s">
        <v>204</v>
      </c>
      <c r="F137" s="9" t="s">
        <v>1476</v>
      </c>
      <c r="G137" s="9" t="s">
        <v>1477</v>
      </c>
      <c r="H137" s="9" t="s">
        <v>1478</v>
      </c>
      <c r="I137" s="8" t="s">
        <v>39</v>
      </c>
      <c r="J137" s="8" t="s">
        <v>40</v>
      </c>
      <c r="K137" s="8" t="s">
        <v>40</v>
      </c>
      <c r="L137" s="7" t="s">
        <v>41</v>
      </c>
      <c r="M137" s="7" t="s">
        <v>41</v>
      </c>
      <c r="N137" s="7" t="s">
        <v>41</v>
      </c>
    </row>
    <row r="138" ht="36" customHeight="1" spans="1:14" x14ac:dyDescent="0.25">
      <c r="A138" s="7" t="s">
        <v>1479</v>
      </c>
      <c r="B138" s="7" t="s">
        <v>1424</v>
      </c>
      <c r="C138" s="7" t="s">
        <v>1480</v>
      </c>
      <c r="D138" s="7" t="s">
        <v>58</v>
      </c>
      <c r="E138" s="7" t="s">
        <v>204</v>
      </c>
      <c r="F138" s="7" t="s">
        <v>1481</v>
      </c>
      <c r="G138" s="7" t="s">
        <v>1482</v>
      </c>
      <c r="H138" s="7" t="s">
        <v>1483</v>
      </c>
      <c r="I138" s="8" t="s">
        <v>39</v>
      </c>
      <c r="J138" s="8" t="s">
        <v>40</v>
      </c>
      <c r="K138" s="8" t="s">
        <v>40</v>
      </c>
      <c r="L138" s="7" t="s">
        <v>41</v>
      </c>
      <c r="M138" s="7" t="s">
        <v>41</v>
      </c>
      <c r="N138" s="7" t="s">
        <v>41</v>
      </c>
    </row>
    <row r="139" ht="36" customHeight="1" spans="1:14" x14ac:dyDescent="0.25">
      <c r="A139" s="9" t="s">
        <v>1484</v>
      </c>
      <c r="B139" s="9" t="s">
        <v>1424</v>
      </c>
      <c r="C139" s="9" t="s">
        <v>1485</v>
      </c>
      <c r="D139" s="9" t="s">
        <v>220</v>
      </c>
      <c r="E139" s="9" t="s">
        <v>204</v>
      </c>
      <c r="F139" s="9" t="s">
        <v>1486</v>
      </c>
      <c r="G139" s="9" t="s">
        <v>648</v>
      </c>
      <c r="H139" s="9" t="s">
        <v>1487</v>
      </c>
      <c r="I139" s="8" t="s">
        <v>39</v>
      </c>
      <c r="J139" s="8" t="s">
        <v>40</v>
      </c>
      <c r="K139" s="8" t="s">
        <v>40</v>
      </c>
      <c r="L139" s="7" t="s">
        <v>41</v>
      </c>
      <c r="M139" s="7" t="s">
        <v>41</v>
      </c>
      <c r="N139" s="7" t="s">
        <v>41</v>
      </c>
    </row>
    <row r="140" ht="36" customHeight="1" spans="1:14" x14ac:dyDescent="0.25">
      <c r="A140" s="7" t="s">
        <v>1488</v>
      </c>
      <c r="B140" s="7" t="s">
        <v>1424</v>
      </c>
      <c r="C140" s="7" t="s">
        <v>1489</v>
      </c>
      <c r="D140" s="7" t="s">
        <v>58</v>
      </c>
      <c r="E140" s="7" t="s">
        <v>92</v>
      </c>
      <c r="F140" s="7" t="s">
        <v>1490</v>
      </c>
      <c r="G140" s="7" t="s">
        <v>1491</v>
      </c>
      <c r="H140" s="7" t="s">
        <v>1492</v>
      </c>
      <c r="I140" s="8" t="s">
        <v>39</v>
      </c>
      <c r="J140" s="8" t="s">
        <v>40</v>
      </c>
      <c r="K140" s="8" t="s">
        <v>40</v>
      </c>
      <c r="L140" s="7" t="s">
        <v>41</v>
      </c>
      <c r="M140" s="7" t="s">
        <v>41</v>
      </c>
      <c r="N140" s="7" t="s">
        <v>41</v>
      </c>
    </row>
    <row r="141" ht="36" customHeight="1" spans="1:14" x14ac:dyDescent="0.25">
      <c r="A141" s="9" t="s">
        <v>1493</v>
      </c>
      <c r="B141" s="9" t="s">
        <v>1424</v>
      </c>
      <c r="C141" s="9" t="s">
        <v>1494</v>
      </c>
      <c r="D141" s="9" t="s">
        <v>58</v>
      </c>
      <c r="E141" s="9" t="s">
        <v>204</v>
      </c>
      <c r="F141" s="9" t="s">
        <v>1133</v>
      </c>
      <c r="G141" s="9" t="s">
        <v>1495</v>
      </c>
      <c r="H141" s="9" t="s">
        <v>1496</v>
      </c>
      <c r="I141" s="8" t="s">
        <v>39</v>
      </c>
      <c r="J141" s="8" t="s">
        <v>40</v>
      </c>
      <c r="K141" s="8" t="s">
        <v>40</v>
      </c>
      <c r="L141" s="7" t="s">
        <v>41</v>
      </c>
      <c r="M141" s="7" t="s">
        <v>41</v>
      </c>
      <c r="N141" s="7" t="s">
        <v>41</v>
      </c>
    </row>
    <row r="142" ht="36" customHeight="1" spans="1:14" x14ac:dyDescent="0.25">
      <c r="A142" s="7" t="s">
        <v>1497</v>
      </c>
      <c r="B142" s="7" t="s">
        <v>1424</v>
      </c>
      <c r="C142" s="7" t="s">
        <v>1498</v>
      </c>
      <c r="D142" s="7" t="s">
        <v>58</v>
      </c>
      <c r="E142" s="7" t="s">
        <v>722</v>
      </c>
      <c r="F142" s="7" t="s">
        <v>100</v>
      </c>
      <c r="G142" s="7" t="s">
        <v>1499</v>
      </c>
      <c r="H142" s="7" t="s">
        <v>722</v>
      </c>
      <c r="I142" s="8" t="s">
        <v>39</v>
      </c>
      <c r="J142" s="8" t="s">
        <v>40</v>
      </c>
      <c r="K142" s="8" t="s">
        <v>40</v>
      </c>
      <c r="L142" s="7" t="s">
        <v>41</v>
      </c>
      <c r="M142" s="7" t="s">
        <v>41</v>
      </c>
      <c r="N142" s="7" t="s">
        <v>41</v>
      </c>
    </row>
    <row r="143" ht="36" customHeight="1" spans="1:14" x14ac:dyDescent="0.25">
      <c r="A143" s="9" t="s">
        <v>1500</v>
      </c>
      <c r="B143" s="9" t="s">
        <v>1424</v>
      </c>
      <c r="C143" s="9" t="s">
        <v>1501</v>
      </c>
      <c r="D143" s="9" t="s">
        <v>1502</v>
      </c>
      <c r="E143" s="9" t="s">
        <v>204</v>
      </c>
      <c r="F143" s="9" t="s">
        <v>1503</v>
      </c>
      <c r="G143" s="9" t="s">
        <v>1504</v>
      </c>
      <c r="H143" s="9" t="s">
        <v>729</v>
      </c>
      <c r="I143" s="8" t="s">
        <v>39</v>
      </c>
      <c r="J143" s="8" t="s">
        <v>40</v>
      </c>
      <c r="K143" s="8" t="s">
        <v>40</v>
      </c>
      <c r="L143" s="7" t="s">
        <v>41</v>
      </c>
      <c r="M143" s="7" t="s">
        <v>41</v>
      </c>
      <c r="N143" s="7" t="s">
        <v>41</v>
      </c>
    </row>
    <row r="144" ht="36" customHeight="1" spans="1:14" x14ac:dyDescent="0.25">
      <c r="A144" s="7" t="s">
        <v>1505</v>
      </c>
      <c r="B144" s="7" t="s">
        <v>1424</v>
      </c>
      <c r="C144" s="7" t="s">
        <v>1506</v>
      </c>
      <c r="D144" s="7" t="s">
        <v>220</v>
      </c>
      <c r="E144" s="7" t="s">
        <v>1507</v>
      </c>
      <c r="F144" s="7" t="s">
        <v>834</v>
      </c>
      <c r="G144" s="7" t="s">
        <v>648</v>
      </c>
      <c r="H144" s="7" t="s">
        <v>1508</v>
      </c>
      <c r="I144" s="8" t="s">
        <v>39</v>
      </c>
      <c r="J144" s="8" t="s">
        <v>40</v>
      </c>
      <c r="K144" s="8" t="s">
        <v>40</v>
      </c>
      <c r="L144" s="7" t="s">
        <v>41</v>
      </c>
      <c r="M144" s="7" t="s">
        <v>41</v>
      </c>
      <c r="N144" s="7" t="s">
        <v>41</v>
      </c>
    </row>
    <row r="145" ht="36" customHeight="1" spans="1:14" x14ac:dyDescent="0.25">
      <c r="A145" s="9" t="s">
        <v>1509</v>
      </c>
      <c r="B145" s="9" t="s">
        <v>1424</v>
      </c>
      <c r="C145" s="9" t="s">
        <v>1510</v>
      </c>
      <c r="D145" s="9" t="s">
        <v>220</v>
      </c>
      <c r="E145" s="9" t="s">
        <v>1511</v>
      </c>
      <c r="F145" s="9" t="s">
        <v>1393</v>
      </c>
      <c r="G145" s="9" t="s">
        <v>1512</v>
      </c>
      <c r="H145" s="9" t="s">
        <v>1513</v>
      </c>
      <c r="I145" s="8" t="s">
        <v>39</v>
      </c>
      <c r="J145" s="8" t="s">
        <v>40</v>
      </c>
      <c r="K145" s="8" t="s">
        <v>40</v>
      </c>
      <c r="L145" s="7" t="s">
        <v>41</v>
      </c>
      <c r="M145" s="7" t="s">
        <v>41</v>
      </c>
      <c r="N145" s="7" t="s">
        <v>41</v>
      </c>
    </row>
    <row r="146" ht="36" customHeight="1" spans="1:14" x14ac:dyDescent="0.25">
      <c r="A146" s="7" t="s">
        <v>1514</v>
      </c>
      <c r="B146" s="7" t="s">
        <v>1515</v>
      </c>
      <c r="C146" s="7" t="s">
        <v>1516</v>
      </c>
      <c r="D146" s="7" t="s">
        <v>220</v>
      </c>
      <c r="E146" s="7" t="s">
        <v>1517</v>
      </c>
      <c r="F146" s="7" t="s">
        <v>1518</v>
      </c>
      <c r="G146" s="7" t="s">
        <v>1519</v>
      </c>
      <c r="H146" s="7" t="s">
        <v>1520</v>
      </c>
      <c r="I146" s="8" t="s">
        <v>39</v>
      </c>
      <c r="J146" s="8" t="s">
        <v>40</v>
      </c>
      <c r="K146" s="8" t="s">
        <v>40</v>
      </c>
      <c r="L146" s="7" t="s">
        <v>41</v>
      </c>
      <c r="M146" s="7" t="s">
        <v>41</v>
      </c>
      <c r="N146" s="7" t="s">
        <v>41</v>
      </c>
    </row>
    <row r="147" ht="36" customHeight="1" spans="1:14" x14ac:dyDescent="0.25">
      <c r="A147" s="9" t="s">
        <v>1521</v>
      </c>
      <c r="B147" s="9" t="s">
        <v>1515</v>
      </c>
      <c r="C147" s="9" t="s">
        <v>1522</v>
      </c>
      <c r="D147" s="9" t="s">
        <v>34</v>
      </c>
      <c r="E147" s="9" t="s">
        <v>1523</v>
      </c>
      <c r="F147" s="9" t="s">
        <v>1524</v>
      </c>
      <c r="G147" s="9" t="s">
        <v>1525</v>
      </c>
      <c r="H147" s="9" t="s">
        <v>1526</v>
      </c>
      <c r="I147" s="8" t="s">
        <v>39</v>
      </c>
      <c r="J147" s="8" t="s">
        <v>40</v>
      </c>
      <c r="K147" s="8" t="s">
        <v>40</v>
      </c>
      <c r="L147" s="7" t="s">
        <v>41</v>
      </c>
      <c r="M147" s="7" t="s">
        <v>41</v>
      </c>
      <c r="N147" s="7" t="s">
        <v>41</v>
      </c>
    </row>
    <row r="148" ht="36" customHeight="1" spans="1:14" x14ac:dyDescent="0.25">
      <c r="A148" s="7" t="s">
        <v>1527</v>
      </c>
      <c r="B148" s="7" t="s">
        <v>1515</v>
      </c>
      <c r="C148" s="7" t="s">
        <v>1528</v>
      </c>
      <c r="D148" s="7" t="s">
        <v>34</v>
      </c>
      <c r="E148" s="7" t="s">
        <v>1529</v>
      </c>
      <c r="F148" s="7" t="s">
        <v>1530</v>
      </c>
      <c r="G148" s="7" t="s">
        <v>1531</v>
      </c>
      <c r="H148" s="7" t="s">
        <v>1532</v>
      </c>
      <c r="I148" s="8" t="s">
        <v>39</v>
      </c>
      <c r="J148" s="8" t="s">
        <v>40</v>
      </c>
      <c r="K148" s="8" t="s">
        <v>40</v>
      </c>
      <c r="L148" s="7" t="s">
        <v>41</v>
      </c>
      <c r="M148" s="7" t="s">
        <v>41</v>
      </c>
      <c r="N148" s="7" t="s">
        <v>41</v>
      </c>
    </row>
    <row r="149" ht="36" customHeight="1" spans="1:14" x14ac:dyDescent="0.25">
      <c r="A149" s="9" t="s">
        <v>1533</v>
      </c>
      <c r="B149" s="9" t="s">
        <v>1515</v>
      </c>
      <c r="C149" s="9" t="s">
        <v>1534</v>
      </c>
      <c r="D149" s="9" t="s">
        <v>220</v>
      </c>
      <c r="E149" s="9" t="s">
        <v>1535</v>
      </c>
      <c r="F149" s="9" t="s">
        <v>1393</v>
      </c>
      <c r="G149" s="9" t="s">
        <v>1536</v>
      </c>
      <c r="H149" s="9" t="s">
        <v>1537</v>
      </c>
      <c r="I149" s="8" t="s">
        <v>39</v>
      </c>
      <c r="J149" s="8" t="s">
        <v>40</v>
      </c>
      <c r="K149" s="8" t="s">
        <v>40</v>
      </c>
      <c r="L149" s="7" t="s">
        <v>41</v>
      </c>
      <c r="M149" s="7" t="s">
        <v>41</v>
      </c>
      <c r="N149" s="7" t="s">
        <v>41</v>
      </c>
    </row>
    <row r="150" ht="36" customHeight="1" spans="1:14" x14ac:dyDescent="0.25">
      <c r="A150" s="7" t="s">
        <v>1538</v>
      </c>
      <c r="B150" s="7" t="s">
        <v>1515</v>
      </c>
      <c r="C150" s="7" t="s">
        <v>1539</v>
      </c>
      <c r="D150" s="7" t="s">
        <v>220</v>
      </c>
      <c r="E150" s="7" t="s">
        <v>1540</v>
      </c>
      <c r="F150" s="7" t="s">
        <v>1541</v>
      </c>
      <c r="G150" s="7" t="s">
        <v>1542</v>
      </c>
      <c r="H150" s="7" t="s">
        <v>1543</v>
      </c>
      <c r="I150" s="8" t="s">
        <v>39</v>
      </c>
      <c r="J150" s="8" t="s">
        <v>40</v>
      </c>
      <c r="K150" s="8" t="s">
        <v>40</v>
      </c>
      <c r="L150" s="7" t="s">
        <v>41</v>
      </c>
      <c r="M150" s="7" t="s">
        <v>41</v>
      </c>
      <c r="N150" s="7" t="s">
        <v>41</v>
      </c>
    </row>
    <row r="151" ht="36" customHeight="1" spans="1:14" x14ac:dyDescent="0.25">
      <c r="A151" s="9" t="s">
        <v>1544</v>
      </c>
      <c r="B151" s="9" t="s">
        <v>1515</v>
      </c>
      <c r="C151" s="9" t="s">
        <v>1545</v>
      </c>
      <c r="D151" s="9" t="s">
        <v>34</v>
      </c>
      <c r="E151" s="9" t="s">
        <v>204</v>
      </c>
      <c r="F151" s="9" t="s">
        <v>1546</v>
      </c>
      <c r="G151" s="9" t="s">
        <v>648</v>
      </c>
      <c r="H151" s="9" t="s">
        <v>1547</v>
      </c>
      <c r="I151" s="8" t="s">
        <v>39</v>
      </c>
      <c r="J151" s="8" t="s">
        <v>40</v>
      </c>
      <c r="K151" s="8" t="s">
        <v>40</v>
      </c>
      <c r="L151" s="7" t="s">
        <v>41</v>
      </c>
      <c r="M151" s="7" t="s">
        <v>41</v>
      </c>
      <c r="N151" s="7" t="s">
        <v>41</v>
      </c>
    </row>
    <row r="152" ht="36" customHeight="1" spans="1:14" x14ac:dyDescent="0.25">
      <c r="A152" s="7" t="s">
        <v>1548</v>
      </c>
      <c r="B152" s="7" t="s">
        <v>1515</v>
      </c>
      <c r="C152" s="7" t="s">
        <v>1549</v>
      </c>
      <c r="D152" s="7" t="s">
        <v>220</v>
      </c>
      <c r="E152" s="7" t="s">
        <v>204</v>
      </c>
      <c r="F152" s="7" t="s">
        <v>1393</v>
      </c>
      <c r="G152" s="7" t="s">
        <v>1550</v>
      </c>
      <c r="H152" s="7" t="s">
        <v>1551</v>
      </c>
      <c r="I152" s="8" t="s">
        <v>39</v>
      </c>
      <c r="J152" s="8" t="s">
        <v>40</v>
      </c>
      <c r="K152" s="8" t="s">
        <v>40</v>
      </c>
      <c r="L152" s="7" t="s">
        <v>41</v>
      </c>
      <c r="M152" s="7" t="s">
        <v>41</v>
      </c>
      <c r="N152" s="7" t="s">
        <v>41</v>
      </c>
    </row>
    <row r="153" ht="36" customHeight="1" spans="1:14" x14ac:dyDescent="0.25">
      <c r="A153" s="9" t="s">
        <v>1552</v>
      </c>
      <c r="B153" s="9" t="s">
        <v>1515</v>
      </c>
      <c r="C153" s="9" t="s">
        <v>1553</v>
      </c>
      <c r="D153" s="9" t="s">
        <v>34</v>
      </c>
      <c r="E153" s="9" t="s">
        <v>204</v>
      </c>
      <c r="F153" s="9" t="s">
        <v>1554</v>
      </c>
      <c r="G153" s="9" t="s">
        <v>1555</v>
      </c>
      <c r="H153" s="9" t="s">
        <v>1556</v>
      </c>
      <c r="I153" s="8" t="s">
        <v>39</v>
      </c>
      <c r="J153" s="8" t="s">
        <v>40</v>
      </c>
      <c r="K153" s="8" t="s">
        <v>40</v>
      </c>
      <c r="L153" s="7" t="s">
        <v>41</v>
      </c>
      <c r="M153" s="7" t="s">
        <v>41</v>
      </c>
      <c r="N153" s="7" t="s">
        <v>41</v>
      </c>
    </row>
    <row r="154" ht="36" customHeight="1" spans="1:14" x14ac:dyDescent="0.25">
      <c r="A154" s="7" t="s">
        <v>1557</v>
      </c>
      <c r="B154" s="7" t="s">
        <v>1515</v>
      </c>
      <c r="C154" s="7" t="s">
        <v>1558</v>
      </c>
      <c r="D154" s="7" t="s">
        <v>34</v>
      </c>
      <c r="E154" s="7" t="s">
        <v>204</v>
      </c>
      <c r="F154" s="7" t="s">
        <v>1559</v>
      </c>
      <c r="G154" s="7" t="s">
        <v>1560</v>
      </c>
      <c r="H154" s="7" t="s">
        <v>1561</v>
      </c>
      <c r="I154" s="8" t="s">
        <v>39</v>
      </c>
      <c r="J154" s="8" t="s">
        <v>40</v>
      </c>
      <c r="K154" s="8" t="s">
        <v>40</v>
      </c>
      <c r="L154" s="7" t="s">
        <v>41</v>
      </c>
      <c r="M154" s="7" t="s">
        <v>41</v>
      </c>
      <c r="N154" s="7" t="s">
        <v>41</v>
      </c>
    </row>
    <row r="155" ht="36" customHeight="1" spans="1:14" x14ac:dyDescent="0.25">
      <c r="A155" s="9" t="s">
        <v>1562</v>
      </c>
      <c r="B155" s="9" t="s">
        <v>1515</v>
      </c>
      <c r="C155" s="9" t="s">
        <v>1563</v>
      </c>
      <c r="D155" s="9" t="s">
        <v>220</v>
      </c>
      <c r="E155" s="9" t="s">
        <v>204</v>
      </c>
      <c r="F155" s="9" t="s">
        <v>1564</v>
      </c>
      <c r="G155" s="9" t="s">
        <v>1565</v>
      </c>
      <c r="H155" s="9" t="s">
        <v>1566</v>
      </c>
      <c r="I155" s="8" t="s">
        <v>39</v>
      </c>
      <c r="J155" s="8" t="s">
        <v>40</v>
      </c>
      <c r="K155" s="8" t="s">
        <v>40</v>
      </c>
      <c r="L155" s="7" t="s">
        <v>41</v>
      </c>
      <c r="M155" s="7" t="s">
        <v>41</v>
      </c>
      <c r="N155" s="7" t="s">
        <v>41</v>
      </c>
    </row>
    <row r="156" ht="36" customHeight="1" spans="1:14" x14ac:dyDescent="0.25">
      <c r="A156" s="7" t="s">
        <v>1567</v>
      </c>
      <c r="B156" s="7" t="s">
        <v>1515</v>
      </c>
      <c r="C156" s="7" t="s">
        <v>1568</v>
      </c>
      <c r="D156" s="7" t="s">
        <v>220</v>
      </c>
      <c r="E156" s="7" t="s">
        <v>204</v>
      </c>
      <c r="F156" s="7" t="s">
        <v>1569</v>
      </c>
      <c r="G156" s="7" t="s">
        <v>1565</v>
      </c>
      <c r="H156" s="7" t="s">
        <v>1570</v>
      </c>
      <c r="I156" s="8" t="s">
        <v>39</v>
      </c>
      <c r="J156" s="8" t="s">
        <v>40</v>
      </c>
      <c r="K156" s="8" t="s">
        <v>40</v>
      </c>
      <c r="L156" s="7" t="s">
        <v>41</v>
      </c>
      <c r="M156" s="7" t="s">
        <v>41</v>
      </c>
      <c r="N156" s="7" t="s">
        <v>41</v>
      </c>
    </row>
    <row r="157" ht="36" customHeight="1" spans="1:14" x14ac:dyDescent="0.25">
      <c r="A157" s="9" t="s">
        <v>1571</v>
      </c>
      <c r="B157" s="9" t="s">
        <v>1515</v>
      </c>
      <c r="C157" s="9" t="s">
        <v>1572</v>
      </c>
      <c r="D157" s="9" t="s">
        <v>220</v>
      </c>
      <c r="E157" s="9" t="s">
        <v>1573</v>
      </c>
      <c r="F157" s="9" t="s">
        <v>1574</v>
      </c>
      <c r="G157" s="9" t="s">
        <v>1575</v>
      </c>
      <c r="H157" s="9" t="s">
        <v>1573</v>
      </c>
      <c r="I157" s="8" t="s">
        <v>39</v>
      </c>
      <c r="J157" s="8" t="s">
        <v>40</v>
      </c>
      <c r="K157" s="8" t="s">
        <v>40</v>
      </c>
      <c r="L157" s="7" t="s">
        <v>41</v>
      </c>
      <c r="M157" s="7" t="s">
        <v>41</v>
      </c>
      <c r="N157" s="7" t="s">
        <v>41</v>
      </c>
    </row>
    <row r="158" ht="36" customHeight="1" spans="1:14" x14ac:dyDescent="0.25">
      <c r="A158" s="7" t="s">
        <v>1576</v>
      </c>
      <c r="B158" s="7" t="s">
        <v>1515</v>
      </c>
      <c r="C158" s="7" t="s">
        <v>1577</v>
      </c>
      <c r="D158" s="7" t="s">
        <v>1578</v>
      </c>
      <c r="E158" s="7" t="s">
        <v>1340</v>
      </c>
      <c r="F158" s="7" t="s">
        <v>1579</v>
      </c>
      <c r="G158" s="7" t="s">
        <v>1580</v>
      </c>
      <c r="H158" s="7" t="s">
        <v>1581</v>
      </c>
      <c r="I158" s="8" t="s">
        <v>39</v>
      </c>
      <c r="J158" s="8" t="s">
        <v>40</v>
      </c>
      <c r="K158" s="8" t="s">
        <v>40</v>
      </c>
      <c r="L158" s="7" t="s">
        <v>41</v>
      </c>
      <c r="M158" s="7" t="s">
        <v>41</v>
      </c>
      <c r="N158" s="7" t="s">
        <v>41</v>
      </c>
    </row>
    <row r="159" ht="36" customHeight="1" spans="1:14" x14ac:dyDescent="0.25">
      <c r="A159" s="9" t="s">
        <v>1582</v>
      </c>
      <c r="B159" s="9" t="s">
        <v>1515</v>
      </c>
      <c r="C159" s="9" t="s">
        <v>1583</v>
      </c>
      <c r="D159" s="9" t="s">
        <v>34</v>
      </c>
      <c r="E159" s="9" t="s">
        <v>204</v>
      </c>
      <c r="F159" s="9" t="s">
        <v>1584</v>
      </c>
      <c r="G159" s="9" t="s">
        <v>1585</v>
      </c>
      <c r="H159" s="9" t="s">
        <v>1586</v>
      </c>
      <c r="I159" s="8" t="s">
        <v>39</v>
      </c>
      <c r="J159" s="8" t="s">
        <v>40</v>
      </c>
      <c r="K159" s="8" t="s">
        <v>40</v>
      </c>
      <c r="L159" s="7" t="s">
        <v>41</v>
      </c>
      <c r="M159" s="7" t="s">
        <v>41</v>
      </c>
      <c r="N159" s="7" t="s">
        <v>41</v>
      </c>
    </row>
    <row r="160" ht="36" customHeight="1" spans="1:14" x14ac:dyDescent="0.25">
      <c r="A160" s="7" t="s">
        <v>1587</v>
      </c>
      <c r="B160" s="7" t="s">
        <v>1515</v>
      </c>
      <c r="C160" s="7" t="s">
        <v>1588</v>
      </c>
      <c r="D160" s="7" t="s">
        <v>220</v>
      </c>
      <c r="E160" s="7" t="s">
        <v>1589</v>
      </c>
      <c r="F160" s="7" t="s">
        <v>1590</v>
      </c>
      <c r="G160" s="7" t="s">
        <v>1565</v>
      </c>
      <c r="H160" s="7" t="s">
        <v>1591</v>
      </c>
      <c r="I160" s="8" t="s">
        <v>39</v>
      </c>
      <c r="J160" s="8" t="s">
        <v>40</v>
      </c>
      <c r="K160" s="8" t="s">
        <v>40</v>
      </c>
      <c r="L160" s="7" t="s">
        <v>41</v>
      </c>
      <c r="M160" s="7" t="s">
        <v>41</v>
      </c>
      <c r="N160" s="7" t="s">
        <v>41</v>
      </c>
    </row>
    <row r="161" ht="36" customHeight="1" spans="1:14" x14ac:dyDescent="0.25">
      <c r="A161" s="9" t="s">
        <v>1592</v>
      </c>
      <c r="B161" s="9" t="s">
        <v>1515</v>
      </c>
      <c r="C161" s="9" t="s">
        <v>1593</v>
      </c>
      <c r="D161" s="9" t="s">
        <v>220</v>
      </c>
      <c r="E161" s="9" t="s">
        <v>204</v>
      </c>
      <c r="F161" s="9" t="s">
        <v>1594</v>
      </c>
      <c r="G161" s="9" t="s">
        <v>1595</v>
      </c>
      <c r="H161" s="9" t="s">
        <v>1596</v>
      </c>
      <c r="I161" s="8" t="s">
        <v>39</v>
      </c>
      <c r="J161" s="8" t="s">
        <v>40</v>
      </c>
      <c r="K161" s="8" t="s">
        <v>40</v>
      </c>
      <c r="L161" s="7" t="s">
        <v>41</v>
      </c>
      <c r="M161" s="7" t="s">
        <v>41</v>
      </c>
      <c r="N161" s="7" t="s">
        <v>41</v>
      </c>
    </row>
    <row r="162" ht="36" customHeight="1" spans="1:14" x14ac:dyDescent="0.25">
      <c r="A162" s="7" t="s">
        <v>1597</v>
      </c>
      <c r="B162" s="7" t="s">
        <v>1598</v>
      </c>
      <c r="C162" s="7" t="s">
        <v>1599</v>
      </c>
      <c r="D162" s="7" t="s">
        <v>34</v>
      </c>
      <c r="E162" s="7" t="s">
        <v>1600</v>
      </c>
      <c r="F162" s="7" t="s">
        <v>1601</v>
      </c>
      <c r="G162" s="7" t="s">
        <v>1602</v>
      </c>
      <c r="H162" s="7" t="s">
        <v>1603</v>
      </c>
      <c r="I162" s="8" t="s">
        <v>39</v>
      </c>
      <c r="J162" s="8" t="s">
        <v>40</v>
      </c>
      <c r="K162" s="8" t="s">
        <v>40</v>
      </c>
      <c r="L162" s="7" t="s">
        <v>41</v>
      </c>
      <c r="M162" s="7" t="s">
        <v>41</v>
      </c>
      <c r="N162" s="7" t="s">
        <v>41</v>
      </c>
    </row>
    <row r="163" ht="36" customHeight="1" spans="1:14" x14ac:dyDescent="0.25">
      <c r="A163" s="9" t="s">
        <v>1604</v>
      </c>
      <c r="B163" s="9" t="s">
        <v>1598</v>
      </c>
      <c r="C163" s="9" t="s">
        <v>1605</v>
      </c>
      <c r="D163" s="9" t="s">
        <v>34</v>
      </c>
      <c r="E163" s="9" t="s">
        <v>1606</v>
      </c>
      <c r="F163" s="9" t="s">
        <v>1607</v>
      </c>
      <c r="G163" s="9" t="s">
        <v>1608</v>
      </c>
      <c r="H163" s="9" t="s">
        <v>1609</v>
      </c>
      <c r="I163" s="8" t="s">
        <v>39</v>
      </c>
      <c r="J163" s="8" t="s">
        <v>40</v>
      </c>
      <c r="K163" s="8" t="s">
        <v>40</v>
      </c>
      <c r="L163" s="7" t="s">
        <v>41</v>
      </c>
      <c r="M163" s="7" t="s">
        <v>41</v>
      </c>
      <c r="N163" s="7" t="s">
        <v>41</v>
      </c>
    </row>
    <row r="164" ht="36" customHeight="1" spans="1:14" x14ac:dyDescent="0.25">
      <c r="A164" s="7" t="s">
        <v>1610</v>
      </c>
      <c r="B164" s="7" t="s">
        <v>1598</v>
      </c>
      <c r="C164" s="7" t="s">
        <v>1611</v>
      </c>
      <c r="D164" s="7" t="s">
        <v>34</v>
      </c>
      <c r="E164" s="7" t="s">
        <v>1612</v>
      </c>
      <c r="F164" s="7" t="s">
        <v>1613</v>
      </c>
      <c r="G164" s="7" t="s">
        <v>350</v>
      </c>
      <c r="H164" s="7" t="s">
        <v>1614</v>
      </c>
      <c r="I164" s="8" t="s">
        <v>39</v>
      </c>
      <c r="J164" s="8" t="s">
        <v>40</v>
      </c>
      <c r="K164" s="8" t="s">
        <v>40</v>
      </c>
      <c r="L164" s="7" t="s">
        <v>41</v>
      </c>
      <c r="M164" s="7" t="s">
        <v>41</v>
      </c>
      <c r="N164" s="7" t="s">
        <v>41</v>
      </c>
    </row>
    <row r="165" ht="36" customHeight="1" spans="1:14" x14ac:dyDescent="0.25">
      <c r="A165" s="9" t="s">
        <v>1615</v>
      </c>
      <c r="B165" s="9" t="s">
        <v>1598</v>
      </c>
      <c r="C165" s="9" t="s">
        <v>1616</v>
      </c>
      <c r="D165" s="9" t="s">
        <v>34</v>
      </c>
      <c r="E165" s="9" t="s">
        <v>204</v>
      </c>
      <c r="F165" s="9" t="s">
        <v>1617</v>
      </c>
      <c r="G165" s="9" t="s">
        <v>1066</v>
      </c>
      <c r="H165" s="9" t="s">
        <v>1618</v>
      </c>
      <c r="I165" s="8" t="s">
        <v>39</v>
      </c>
      <c r="J165" s="8" t="s">
        <v>40</v>
      </c>
      <c r="K165" s="8" t="s">
        <v>40</v>
      </c>
      <c r="L165" s="7" t="s">
        <v>41</v>
      </c>
      <c r="M165" s="7" t="s">
        <v>41</v>
      </c>
      <c r="N165" s="7" t="s">
        <v>41</v>
      </c>
    </row>
    <row r="166" ht="36" customHeight="1" spans="1:14" x14ac:dyDescent="0.25">
      <c r="A166" s="7" t="s">
        <v>1619</v>
      </c>
      <c r="B166" s="7" t="s">
        <v>1598</v>
      </c>
      <c r="C166" s="7" t="s">
        <v>1620</v>
      </c>
      <c r="D166" s="7" t="s">
        <v>34</v>
      </c>
      <c r="E166" s="7" t="s">
        <v>1621</v>
      </c>
      <c r="F166" s="7" t="s">
        <v>1622</v>
      </c>
      <c r="G166" s="7" t="s">
        <v>990</v>
      </c>
      <c r="H166" s="7" t="s">
        <v>1623</v>
      </c>
      <c r="I166" s="8" t="s">
        <v>39</v>
      </c>
      <c r="J166" s="8" t="s">
        <v>40</v>
      </c>
      <c r="K166" s="8" t="s">
        <v>40</v>
      </c>
      <c r="L166" s="7" t="s">
        <v>41</v>
      </c>
      <c r="M166" s="7" t="s">
        <v>41</v>
      </c>
      <c r="N166" s="7" t="s">
        <v>41</v>
      </c>
    </row>
    <row r="167" ht="36" customHeight="1" spans="1:14" x14ac:dyDescent="0.25">
      <c r="A167" s="9" t="s">
        <v>1624</v>
      </c>
      <c r="B167" s="9" t="s">
        <v>1598</v>
      </c>
      <c r="C167" s="9" t="s">
        <v>1625</v>
      </c>
      <c r="D167" s="9" t="s">
        <v>34</v>
      </c>
      <c r="E167" s="9" t="s">
        <v>1109</v>
      </c>
      <c r="F167" s="9" t="s">
        <v>1626</v>
      </c>
      <c r="G167" s="9" t="s">
        <v>568</v>
      </c>
      <c r="H167" s="9" t="s">
        <v>1627</v>
      </c>
      <c r="I167" s="8" t="s">
        <v>39</v>
      </c>
      <c r="J167" s="8" t="s">
        <v>40</v>
      </c>
      <c r="K167" s="8" t="s">
        <v>40</v>
      </c>
      <c r="L167" s="7" t="s">
        <v>41</v>
      </c>
      <c r="M167" s="7" t="s">
        <v>41</v>
      </c>
      <c r="N167" s="7" t="s">
        <v>41</v>
      </c>
    </row>
    <row r="168" ht="36" customHeight="1" spans="1:14" x14ac:dyDescent="0.25">
      <c r="A168" s="7" t="s">
        <v>1628</v>
      </c>
      <c r="B168" s="7" t="s">
        <v>1598</v>
      </c>
      <c r="C168" s="7" t="s">
        <v>1629</v>
      </c>
      <c r="D168" s="7" t="s">
        <v>34</v>
      </c>
      <c r="E168" s="7" t="s">
        <v>1630</v>
      </c>
      <c r="F168" s="7" t="s">
        <v>543</v>
      </c>
      <c r="G168" s="7" t="s">
        <v>1631</v>
      </c>
      <c r="H168" s="7" t="s">
        <v>1632</v>
      </c>
      <c r="I168" s="8" t="s">
        <v>39</v>
      </c>
      <c r="J168" s="8" t="s">
        <v>40</v>
      </c>
      <c r="K168" s="8" t="s">
        <v>40</v>
      </c>
      <c r="L168" s="7" t="s">
        <v>41</v>
      </c>
      <c r="M168" s="7" t="s">
        <v>41</v>
      </c>
      <c r="N168" s="7" t="s">
        <v>41</v>
      </c>
    </row>
    <row r="169" ht="36" customHeight="1" spans="1:14" x14ac:dyDescent="0.25">
      <c r="A169" s="9" t="s">
        <v>1633</v>
      </c>
      <c r="B169" s="9" t="s">
        <v>1598</v>
      </c>
      <c r="C169" s="9" t="s">
        <v>1634</v>
      </c>
      <c r="D169" s="9" t="s">
        <v>34</v>
      </c>
      <c r="E169" s="9" t="s">
        <v>204</v>
      </c>
      <c r="F169" s="9" t="s">
        <v>1635</v>
      </c>
      <c r="G169" s="9" t="s">
        <v>1636</v>
      </c>
      <c r="H169" s="9" t="s">
        <v>1637</v>
      </c>
      <c r="I169" s="8" t="s">
        <v>39</v>
      </c>
      <c r="J169" s="8" t="s">
        <v>40</v>
      </c>
      <c r="K169" s="8" t="s">
        <v>40</v>
      </c>
      <c r="L169" s="7" t="s">
        <v>41</v>
      </c>
      <c r="M169" s="7" t="s">
        <v>41</v>
      </c>
      <c r="N169" s="7" t="s">
        <v>41</v>
      </c>
    </row>
    <row r="170" ht="36" customHeight="1" spans="1:14" x14ac:dyDescent="0.25">
      <c r="A170" s="7" t="s">
        <v>1638</v>
      </c>
      <c r="B170" s="7" t="s">
        <v>1639</v>
      </c>
      <c r="C170" s="7" t="s">
        <v>1640</v>
      </c>
      <c r="D170" s="7" t="s">
        <v>547</v>
      </c>
      <c r="E170" s="7" t="s">
        <v>204</v>
      </c>
      <c r="F170" s="7" t="s">
        <v>1641</v>
      </c>
      <c r="G170" s="7" t="s">
        <v>1642</v>
      </c>
      <c r="H170" s="7" t="s">
        <v>1643</v>
      </c>
      <c r="I170" s="8" t="s">
        <v>39</v>
      </c>
      <c r="J170" s="8" t="s">
        <v>40</v>
      </c>
      <c r="K170" s="8" t="s">
        <v>40</v>
      </c>
      <c r="L170" s="7" t="s">
        <v>41</v>
      </c>
      <c r="M170" s="7" t="s">
        <v>41</v>
      </c>
      <c r="N170" s="7" t="s">
        <v>41</v>
      </c>
    </row>
    <row r="171" ht="36" customHeight="1" spans="1:14" x14ac:dyDescent="0.25">
      <c r="A171" s="9" t="s">
        <v>1644</v>
      </c>
      <c r="B171" s="9" t="s">
        <v>1639</v>
      </c>
      <c r="C171" s="9" t="s">
        <v>1645</v>
      </c>
      <c r="D171" s="9" t="s">
        <v>547</v>
      </c>
      <c r="E171" s="9" t="s">
        <v>204</v>
      </c>
      <c r="F171" s="9" t="s">
        <v>1646</v>
      </c>
      <c r="G171" s="9" t="s">
        <v>1647</v>
      </c>
      <c r="H171" s="9" t="s">
        <v>1648</v>
      </c>
      <c r="I171" s="8" t="s">
        <v>39</v>
      </c>
      <c r="J171" s="8" t="s">
        <v>40</v>
      </c>
      <c r="K171" s="8" t="s">
        <v>40</v>
      </c>
      <c r="L171" s="7" t="s">
        <v>41</v>
      </c>
      <c r="M171" s="7" t="s">
        <v>41</v>
      </c>
      <c r="N171" s="7" t="s">
        <v>41</v>
      </c>
    </row>
    <row r="172" ht="36" customHeight="1" spans="1:14" x14ac:dyDescent="0.25">
      <c r="A172" s="7" t="s">
        <v>1649</v>
      </c>
      <c r="B172" s="7" t="s">
        <v>1639</v>
      </c>
      <c r="C172" s="7" t="s">
        <v>1650</v>
      </c>
      <c r="D172" s="7" t="s">
        <v>547</v>
      </c>
      <c r="E172" s="7" t="s">
        <v>204</v>
      </c>
      <c r="F172" s="7" t="s">
        <v>1651</v>
      </c>
      <c r="G172" s="7" t="s">
        <v>990</v>
      </c>
      <c r="H172" s="7" t="s">
        <v>1652</v>
      </c>
      <c r="I172" s="8" t="s">
        <v>39</v>
      </c>
      <c r="J172" s="8" t="s">
        <v>40</v>
      </c>
      <c r="K172" s="8" t="s">
        <v>40</v>
      </c>
      <c r="L172" s="7" t="s">
        <v>41</v>
      </c>
      <c r="M172" s="7" t="s">
        <v>41</v>
      </c>
      <c r="N172" s="7" t="s">
        <v>41</v>
      </c>
    </row>
    <row r="173" ht="36" customHeight="1" spans="1:14" x14ac:dyDescent="0.25">
      <c r="A173" s="9" t="s">
        <v>1653</v>
      </c>
      <c r="B173" s="9" t="s">
        <v>1639</v>
      </c>
      <c r="C173" s="9" t="s">
        <v>1654</v>
      </c>
      <c r="D173" s="9" t="s">
        <v>547</v>
      </c>
      <c r="E173" s="9" t="s">
        <v>478</v>
      </c>
      <c r="F173" s="9" t="s">
        <v>1655</v>
      </c>
      <c r="G173" s="9" t="s">
        <v>1656</v>
      </c>
      <c r="H173" s="9" t="s">
        <v>1657</v>
      </c>
      <c r="I173" s="8" t="s">
        <v>39</v>
      </c>
      <c r="J173" s="8" t="s">
        <v>40</v>
      </c>
      <c r="K173" s="8" t="s">
        <v>40</v>
      </c>
      <c r="L173" s="7" t="s">
        <v>41</v>
      </c>
      <c r="M173" s="7" t="s">
        <v>41</v>
      </c>
      <c r="N173" s="7" t="s">
        <v>41</v>
      </c>
    </row>
    <row r="174" ht="36" customHeight="1" spans="1:14" x14ac:dyDescent="0.25">
      <c r="A174" s="7" t="s">
        <v>1658</v>
      </c>
      <c r="B174" s="7" t="s">
        <v>1639</v>
      </c>
      <c r="C174" s="7" t="s">
        <v>1659</v>
      </c>
      <c r="D174" s="7" t="s">
        <v>547</v>
      </c>
      <c r="E174" s="7" t="s">
        <v>204</v>
      </c>
      <c r="F174" s="7" t="s">
        <v>1660</v>
      </c>
      <c r="G174" s="7" t="s">
        <v>1661</v>
      </c>
      <c r="H174" s="7" t="s">
        <v>1662</v>
      </c>
      <c r="I174" s="8" t="s">
        <v>39</v>
      </c>
      <c r="J174" s="8" t="s">
        <v>40</v>
      </c>
      <c r="K174" s="8" t="s">
        <v>40</v>
      </c>
      <c r="L174" s="7" t="s">
        <v>41</v>
      </c>
      <c r="M174" s="7" t="s">
        <v>41</v>
      </c>
      <c r="N174" s="7" t="s">
        <v>41</v>
      </c>
    </row>
    <row r="175" ht="36" customHeight="1" spans="1:14" x14ac:dyDescent="0.25">
      <c r="A175" s="9" t="s">
        <v>1663</v>
      </c>
      <c r="B175" s="9" t="s">
        <v>1639</v>
      </c>
      <c r="C175" s="9" t="s">
        <v>1664</v>
      </c>
      <c r="D175" s="9" t="s">
        <v>547</v>
      </c>
      <c r="E175" s="9" t="s">
        <v>204</v>
      </c>
      <c r="F175" s="9" t="s">
        <v>1665</v>
      </c>
      <c r="G175" s="9" t="s">
        <v>1666</v>
      </c>
      <c r="H175" s="9" t="s">
        <v>1667</v>
      </c>
      <c r="I175" s="8" t="s">
        <v>39</v>
      </c>
      <c r="J175" s="8" t="s">
        <v>40</v>
      </c>
      <c r="K175" s="8" t="s">
        <v>40</v>
      </c>
      <c r="L175" s="7" t="s">
        <v>41</v>
      </c>
      <c r="M175" s="7" t="s">
        <v>41</v>
      </c>
      <c r="N175" s="7" t="s">
        <v>41</v>
      </c>
    </row>
    <row r="176" ht="36" customHeight="1" spans="1:14" x14ac:dyDescent="0.25">
      <c r="A176" s="7" t="s">
        <v>1668</v>
      </c>
      <c r="B176" s="7" t="s">
        <v>1639</v>
      </c>
      <c r="C176" s="7" t="s">
        <v>1669</v>
      </c>
      <c r="D176" s="7" t="s">
        <v>547</v>
      </c>
      <c r="E176" s="7" t="s">
        <v>204</v>
      </c>
      <c r="F176" s="7" t="s">
        <v>1670</v>
      </c>
      <c r="G176" s="7" t="s">
        <v>1671</v>
      </c>
      <c r="H176" s="7" t="s">
        <v>1672</v>
      </c>
      <c r="I176" s="8" t="s">
        <v>39</v>
      </c>
      <c r="J176" s="8" t="s">
        <v>40</v>
      </c>
      <c r="K176" s="8" t="s">
        <v>40</v>
      </c>
      <c r="L176" s="7" t="s">
        <v>41</v>
      </c>
      <c r="M176" s="7" t="s">
        <v>41</v>
      </c>
      <c r="N176" s="7" t="s">
        <v>41</v>
      </c>
    </row>
    <row r="177" ht="36" customHeight="1" spans="1:14" x14ac:dyDescent="0.25">
      <c r="A177" s="9" t="s">
        <v>1673</v>
      </c>
      <c r="B177" s="9" t="s">
        <v>1639</v>
      </c>
      <c r="C177" s="9" t="s">
        <v>1674</v>
      </c>
      <c r="D177" s="9" t="s">
        <v>368</v>
      </c>
      <c r="E177" s="9" t="s">
        <v>204</v>
      </c>
      <c r="F177" s="9" t="s">
        <v>1675</v>
      </c>
      <c r="G177" s="9" t="s">
        <v>1676</v>
      </c>
      <c r="H177" s="9" t="s">
        <v>1677</v>
      </c>
      <c r="I177" s="8" t="s">
        <v>39</v>
      </c>
      <c r="J177" s="8" t="s">
        <v>40</v>
      </c>
      <c r="K177" s="8" t="s">
        <v>40</v>
      </c>
      <c r="L177" s="7" t="s">
        <v>41</v>
      </c>
      <c r="M177" s="7" t="s">
        <v>41</v>
      </c>
      <c r="N177" s="7" t="s">
        <v>41</v>
      </c>
    </row>
    <row r="178" ht="36" customHeight="1" spans="1:14" x14ac:dyDescent="0.25">
      <c r="A178" s="7" t="s">
        <v>1678</v>
      </c>
      <c r="B178" s="7" t="s">
        <v>1639</v>
      </c>
      <c r="C178" s="7" t="s">
        <v>1679</v>
      </c>
      <c r="D178" s="7" t="s">
        <v>368</v>
      </c>
      <c r="E178" s="7" t="s">
        <v>204</v>
      </c>
      <c r="F178" s="7" t="s">
        <v>1680</v>
      </c>
      <c r="G178" s="7" t="s">
        <v>1681</v>
      </c>
      <c r="H178" s="7" t="s">
        <v>1682</v>
      </c>
      <c r="I178" s="8" t="s">
        <v>39</v>
      </c>
      <c r="J178" s="8" t="s">
        <v>40</v>
      </c>
      <c r="K178" s="8" t="s">
        <v>40</v>
      </c>
      <c r="L178" s="7" t="s">
        <v>41</v>
      </c>
      <c r="M178" s="7" t="s">
        <v>41</v>
      </c>
      <c r="N178" s="7" t="s">
        <v>41</v>
      </c>
    </row>
    <row r="179" ht="36" customHeight="1" spans="1:14" x14ac:dyDescent="0.25">
      <c r="A179" s="9" t="s">
        <v>1683</v>
      </c>
      <c r="B179" s="9" t="s">
        <v>1639</v>
      </c>
      <c r="C179" s="9" t="s">
        <v>1684</v>
      </c>
      <c r="D179" s="9" t="s">
        <v>368</v>
      </c>
      <c r="E179" s="9" t="s">
        <v>204</v>
      </c>
      <c r="F179" s="9" t="s">
        <v>1685</v>
      </c>
      <c r="G179" s="9" t="s">
        <v>1686</v>
      </c>
      <c r="H179" s="9" t="s">
        <v>1687</v>
      </c>
      <c r="I179" s="8" t="s">
        <v>39</v>
      </c>
      <c r="J179" s="8" t="s">
        <v>40</v>
      </c>
      <c r="K179" s="8" t="s">
        <v>40</v>
      </c>
      <c r="L179" s="7" t="s">
        <v>41</v>
      </c>
      <c r="M179" s="7" t="s">
        <v>41</v>
      </c>
      <c r="N179" s="7" t="s">
        <v>41</v>
      </c>
    </row>
    <row r="180" ht="36" customHeight="1" spans="1:14" x14ac:dyDescent="0.25">
      <c r="A180" s="7" t="s">
        <v>1688</v>
      </c>
      <c r="B180" s="7" t="s">
        <v>1639</v>
      </c>
      <c r="C180" s="7" t="s">
        <v>1689</v>
      </c>
      <c r="D180" s="7" t="s">
        <v>368</v>
      </c>
      <c r="E180" s="7" t="s">
        <v>204</v>
      </c>
      <c r="F180" s="7" t="s">
        <v>1690</v>
      </c>
      <c r="G180" s="7" t="s">
        <v>1691</v>
      </c>
      <c r="H180" s="7" t="s">
        <v>1692</v>
      </c>
      <c r="I180" s="8" t="s">
        <v>39</v>
      </c>
      <c r="J180" s="8" t="s">
        <v>40</v>
      </c>
      <c r="K180" s="8" t="s">
        <v>40</v>
      </c>
      <c r="L180" s="7" t="s">
        <v>41</v>
      </c>
      <c r="M180" s="7" t="s">
        <v>41</v>
      </c>
      <c r="N180" s="7" t="s">
        <v>41</v>
      </c>
    </row>
    <row r="181" ht="36" customHeight="1" spans="1:14" x14ac:dyDescent="0.25">
      <c r="A181" s="9" t="s">
        <v>1693</v>
      </c>
      <c r="B181" s="9" t="s">
        <v>1639</v>
      </c>
      <c r="C181" s="9" t="s">
        <v>1694</v>
      </c>
      <c r="D181" s="9" t="s">
        <v>368</v>
      </c>
      <c r="E181" s="9" t="s">
        <v>204</v>
      </c>
      <c r="F181" s="9" t="s">
        <v>1695</v>
      </c>
      <c r="G181" s="9" t="s">
        <v>1696</v>
      </c>
      <c r="H181" s="9" t="s">
        <v>1697</v>
      </c>
      <c r="I181" s="8" t="s">
        <v>39</v>
      </c>
      <c r="J181" s="8" t="s">
        <v>40</v>
      </c>
      <c r="K181" s="8" t="s">
        <v>40</v>
      </c>
      <c r="L181" s="7" t="s">
        <v>41</v>
      </c>
      <c r="M181" s="7" t="s">
        <v>41</v>
      </c>
      <c r="N181" s="7" t="s">
        <v>41</v>
      </c>
    </row>
    <row r="182" ht="36" customHeight="1" spans="1:14" x14ac:dyDescent="0.25">
      <c r="A182" s="7" t="s">
        <v>1698</v>
      </c>
      <c r="B182" s="7" t="s">
        <v>1639</v>
      </c>
      <c r="C182" s="7" t="s">
        <v>1699</v>
      </c>
      <c r="D182" s="7" t="s">
        <v>368</v>
      </c>
      <c r="E182" s="7" t="s">
        <v>204</v>
      </c>
      <c r="F182" s="7" t="s">
        <v>1700</v>
      </c>
      <c r="G182" s="7" t="s">
        <v>1701</v>
      </c>
      <c r="H182" s="7" t="s">
        <v>1248</v>
      </c>
      <c r="I182" s="8" t="s">
        <v>39</v>
      </c>
      <c r="J182" s="8" t="s">
        <v>40</v>
      </c>
      <c r="K182" s="8" t="s">
        <v>40</v>
      </c>
      <c r="L182" s="7" t="s">
        <v>41</v>
      </c>
      <c r="M182" s="7" t="s">
        <v>41</v>
      </c>
      <c r="N182" s="7" t="s">
        <v>41</v>
      </c>
    </row>
    <row r="183" ht="36" customHeight="1" spans="1:14" x14ac:dyDescent="0.25">
      <c r="A183" s="9" t="s">
        <v>1702</v>
      </c>
      <c r="B183" s="9" t="s">
        <v>1639</v>
      </c>
      <c r="C183" s="9" t="s">
        <v>1703</v>
      </c>
      <c r="D183" s="9" t="s">
        <v>368</v>
      </c>
      <c r="E183" s="9" t="s">
        <v>204</v>
      </c>
      <c r="F183" s="9" t="s">
        <v>1704</v>
      </c>
      <c r="G183" s="9" t="s">
        <v>1705</v>
      </c>
      <c r="H183" s="9" t="s">
        <v>1248</v>
      </c>
      <c r="I183" s="8" t="s">
        <v>39</v>
      </c>
      <c r="J183" s="8" t="s">
        <v>40</v>
      </c>
      <c r="K183" s="8" t="s">
        <v>40</v>
      </c>
      <c r="L183" s="7" t="s">
        <v>41</v>
      </c>
      <c r="M183" s="7" t="s">
        <v>41</v>
      </c>
      <c r="N183" s="7" t="s">
        <v>41</v>
      </c>
    </row>
    <row r="184" ht="36" customHeight="1" spans="1:14" x14ac:dyDescent="0.25">
      <c r="A184" s="7" t="s">
        <v>1706</v>
      </c>
      <c r="B184" s="7" t="s">
        <v>1639</v>
      </c>
      <c r="C184" s="7" t="s">
        <v>1707</v>
      </c>
      <c r="D184" s="7" t="s">
        <v>405</v>
      </c>
      <c r="E184" s="7" t="s">
        <v>204</v>
      </c>
      <c r="F184" s="7" t="s">
        <v>1708</v>
      </c>
      <c r="G184" s="7" t="s">
        <v>350</v>
      </c>
      <c r="H184" s="7" t="s">
        <v>1709</v>
      </c>
      <c r="I184" s="8" t="s">
        <v>39</v>
      </c>
      <c r="J184" s="8" t="s">
        <v>40</v>
      </c>
      <c r="K184" s="8" t="s">
        <v>40</v>
      </c>
      <c r="L184" s="7" t="s">
        <v>41</v>
      </c>
      <c r="M184" s="7" t="s">
        <v>41</v>
      </c>
      <c r="N184" s="7" t="s">
        <v>41</v>
      </c>
    </row>
    <row r="185" ht="36" customHeight="1" spans="1:14" x14ac:dyDescent="0.25">
      <c r="A185" s="9" t="s">
        <v>1710</v>
      </c>
      <c r="B185" s="9" t="s">
        <v>1639</v>
      </c>
      <c r="C185" s="9" t="s">
        <v>1711</v>
      </c>
      <c r="D185" s="9" t="s">
        <v>547</v>
      </c>
      <c r="E185" s="9" t="s">
        <v>204</v>
      </c>
      <c r="F185" s="9" t="s">
        <v>1712</v>
      </c>
      <c r="G185" s="9" t="s">
        <v>1713</v>
      </c>
      <c r="H185" s="9" t="s">
        <v>1714</v>
      </c>
      <c r="I185" s="8" t="s">
        <v>39</v>
      </c>
      <c r="J185" s="8" t="s">
        <v>40</v>
      </c>
      <c r="K185" s="8" t="s">
        <v>40</v>
      </c>
      <c r="L185" s="7" t="s">
        <v>41</v>
      </c>
      <c r="M185" s="7" t="s">
        <v>41</v>
      </c>
      <c r="N185" s="7" t="s">
        <v>41</v>
      </c>
    </row>
    <row r="186" ht="36" customHeight="1" spans="1:14" x14ac:dyDescent="0.25">
      <c r="A186" s="7" t="s">
        <v>1715</v>
      </c>
      <c r="B186" s="7" t="s">
        <v>1639</v>
      </c>
      <c r="C186" s="7" t="s">
        <v>1716</v>
      </c>
      <c r="D186" s="7" t="s">
        <v>547</v>
      </c>
      <c r="E186" s="7" t="s">
        <v>1717</v>
      </c>
      <c r="F186" s="7" t="s">
        <v>1718</v>
      </c>
      <c r="G186" s="7" t="s">
        <v>1719</v>
      </c>
      <c r="H186" s="7" t="s">
        <v>1720</v>
      </c>
      <c r="I186" s="8" t="s">
        <v>39</v>
      </c>
      <c r="J186" s="8" t="s">
        <v>40</v>
      </c>
      <c r="K186" s="8" t="s">
        <v>40</v>
      </c>
      <c r="L186" s="7" t="s">
        <v>41</v>
      </c>
      <c r="M186" s="7" t="s">
        <v>41</v>
      </c>
      <c r="N186" s="7" t="s">
        <v>41</v>
      </c>
    </row>
    <row r="187" ht="36" customHeight="1" spans="1:14" x14ac:dyDescent="0.25">
      <c r="A187" s="9" t="s">
        <v>1721</v>
      </c>
      <c r="B187" s="9" t="s">
        <v>1639</v>
      </c>
      <c r="C187" s="9" t="s">
        <v>1722</v>
      </c>
      <c r="D187" s="9" t="s">
        <v>547</v>
      </c>
      <c r="E187" s="9" t="s">
        <v>1723</v>
      </c>
      <c r="F187" s="9" t="s">
        <v>1724</v>
      </c>
      <c r="G187" s="9" t="s">
        <v>1725</v>
      </c>
      <c r="H187" s="9" t="s">
        <v>1726</v>
      </c>
      <c r="I187" s="8" t="s">
        <v>39</v>
      </c>
      <c r="J187" s="8" t="s">
        <v>40</v>
      </c>
      <c r="K187" s="8" t="s">
        <v>40</v>
      </c>
      <c r="L187" s="7" t="s">
        <v>41</v>
      </c>
      <c r="M187" s="7" t="s">
        <v>41</v>
      </c>
      <c r="N187" s="7" t="s">
        <v>41</v>
      </c>
    </row>
    <row r="188" ht="36" customHeight="1" spans="1:14" x14ac:dyDescent="0.25">
      <c r="A188" s="7" t="s">
        <v>1727</v>
      </c>
      <c r="B188" s="7" t="s">
        <v>1639</v>
      </c>
      <c r="C188" s="7" t="s">
        <v>1728</v>
      </c>
      <c r="D188" s="7" t="s">
        <v>547</v>
      </c>
      <c r="E188" s="7" t="s">
        <v>204</v>
      </c>
      <c r="F188" s="7" t="s">
        <v>1729</v>
      </c>
      <c r="G188" s="7" t="s">
        <v>1730</v>
      </c>
      <c r="H188" s="7" t="s">
        <v>1731</v>
      </c>
      <c r="I188" s="8" t="s">
        <v>39</v>
      </c>
      <c r="J188" s="8" t="s">
        <v>40</v>
      </c>
      <c r="K188" s="8" t="s">
        <v>40</v>
      </c>
      <c r="L188" s="7" t="s">
        <v>41</v>
      </c>
      <c r="M188" s="7" t="s">
        <v>41</v>
      </c>
      <c r="N188" s="7" t="s">
        <v>41</v>
      </c>
    </row>
    <row r="189" ht="36" customHeight="1" spans="1:14" x14ac:dyDescent="0.25">
      <c r="A189" s="9" t="s">
        <v>1732</v>
      </c>
      <c r="B189" s="9" t="s">
        <v>1639</v>
      </c>
      <c r="C189" s="9" t="s">
        <v>1733</v>
      </c>
      <c r="D189" s="9" t="s">
        <v>547</v>
      </c>
      <c r="E189" s="9" t="s">
        <v>204</v>
      </c>
      <c r="F189" s="9" t="s">
        <v>1729</v>
      </c>
      <c r="G189" s="9" t="s">
        <v>1734</v>
      </c>
      <c r="H189" s="9" t="s">
        <v>1248</v>
      </c>
      <c r="I189" s="8" t="s">
        <v>39</v>
      </c>
      <c r="J189" s="8" t="s">
        <v>40</v>
      </c>
      <c r="K189" s="8" t="s">
        <v>40</v>
      </c>
      <c r="L189" s="7" t="s">
        <v>41</v>
      </c>
      <c r="M189" s="7" t="s">
        <v>41</v>
      </c>
      <c r="N189" s="7" t="s">
        <v>41</v>
      </c>
    </row>
    <row r="190" ht="36" customHeight="1" spans="1:14" x14ac:dyDescent="0.25">
      <c r="A190" s="7" t="s">
        <v>1735</v>
      </c>
      <c r="B190" s="7" t="s">
        <v>1639</v>
      </c>
      <c r="C190" s="7" t="s">
        <v>1736</v>
      </c>
      <c r="D190" s="7" t="s">
        <v>547</v>
      </c>
      <c r="E190" s="7" t="s">
        <v>204</v>
      </c>
      <c r="F190" s="7" t="s">
        <v>1737</v>
      </c>
      <c r="G190" s="7" t="s">
        <v>1738</v>
      </c>
      <c r="H190" s="7" t="s">
        <v>1739</v>
      </c>
      <c r="I190" s="8" t="s">
        <v>39</v>
      </c>
      <c r="J190" s="8" t="s">
        <v>40</v>
      </c>
      <c r="K190" s="8" t="s">
        <v>40</v>
      </c>
      <c r="L190" s="7" t="s">
        <v>41</v>
      </c>
      <c r="M190" s="7" t="s">
        <v>41</v>
      </c>
      <c r="N190" s="7" t="s">
        <v>41</v>
      </c>
    </row>
    <row r="191" ht="36" customHeight="1" spans="1:14" x14ac:dyDescent="0.25">
      <c r="A191" s="9" t="s">
        <v>1740</v>
      </c>
      <c r="B191" s="9" t="s">
        <v>1639</v>
      </c>
      <c r="C191" s="9" t="s">
        <v>1741</v>
      </c>
      <c r="D191" s="9" t="s">
        <v>547</v>
      </c>
      <c r="E191" s="9" t="s">
        <v>204</v>
      </c>
      <c r="F191" s="9" t="s">
        <v>1742</v>
      </c>
      <c r="G191" s="9" t="s">
        <v>1743</v>
      </c>
      <c r="H191" s="9" t="s">
        <v>1744</v>
      </c>
      <c r="I191" s="8" t="s">
        <v>39</v>
      </c>
      <c r="J191" s="8" t="s">
        <v>40</v>
      </c>
      <c r="K191" s="8" t="s">
        <v>40</v>
      </c>
      <c r="L191" s="7" t="s">
        <v>41</v>
      </c>
      <c r="M191" s="7" t="s">
        <v>41</v>
      </c>
      <c r="N191" s="7" t="s">
        <v>41</v>
      </c>
    </row>
    <row r="192" ht="36" customHeight="1" spans="1:14" x14ac:dyDescent="0.25">
      <c r="A192" s="7" t="s">
        <v>1745</v>
      </c>
      <c r="B192" s="7" t="s">
        <v>1639</v>
      </c>
      <c r="C192" s="7" t="s">
        <v>1746</v>
      </c>
      <c r="D192" s="7" t="s">
        <v>405</v>
      </c>
      <c r="E192" s="7" t="s">
        <v>1747</v>
      </c>
      <c r="F192" s="7" t="s">
        <v>1748</v>
      </c>
      <c r="G192" s="7" t="s">
        <v>1749</v>
      </c>
      <c r="H192" s="7" t="s">
        <v>1750</v>
      </c>
      <c r="I192" s="8" t="s">
        <v>39</v>
      </c>
      <c r="J192" s="8" t="s">
        <v>40</v>
      </c>
      <c r="K192" s="8" t="s">
        <v>40</v>
      </c>
      <c r="L192" s="7" t="s">
        <v>41</v>
      </c>
      <c r="M192" s="7" t="s">
        <v>41</v>
      </c>
      <c r="N192" s="7" t="s">
        <v>41</v>
      </c>
    </row>
    <row r="193" ht="36" customHeight="1" spans="1:14" x14ac:dyDescent="0.25">
      <c r="A193" s="9" t="s">
        <v>1751</v>
      </c>
      <c r="B193" s="9" t="s">
        <v>1639</v>
      </c>
      <c r="C193" s="9" t="s">
        <v>1752</v>
      </c>
      <c r="D193" s="9" t="s">
        <v>547</v>
      </c>
      <c r="E193" s="9" t="s">
        <v>1753</v>
      </c>
      <c r="F193" s="9" t="s">
        <v>1754</v>
      </c>
      <c r="G193" s="9" t="s">
        <v>1755</v>
      </c>
      <c r="H193" s="9" t="s">
        <v>1609</v>
      </c>
      <c r="I193" s="8" t="s">
        <v>39</v>
      </c>
      <c r="J193" s="8" t="s">
        <v>40</v>
      </c>
      <c r="K193" s="8" t="s">
        <v>40</v>
      </c>
      <c r="L193" s="7" t="s">
        <v>41</v>
      </c>
      <c r="M193" s="7" t="s">
        <v>41</v>
      </c>
      <c r="N193" s="7" t="s">
        <v>41</v>
      </c>
    </row>
    <row r="194" ht="36" customHeight="1" spans="1:14" x14ac:dyDescent="0.25">
      <c r="A194" s="7" t="s">
        <v>1756</v>
      </c>
      <c r="B194" s="7" t="s">
        <v>1639</v>
      </c>
      <c r="C194" s="7" t="s">
        <v>1757</v>
      </c>
      <c r="D194" s="7" t="s">
        <v>474</v>
      </c>
      <c r="E194" s="7" t="s">
        <v>1758</v>
      </c>
      <c r="F194" s="7" t="s">
        <v>436</v>
      </c>
      <c r="G194" s="7" t="s">
        <v>350</v>
      </c>
      <c r="H194" s="7" t="s">
        <v>693</v>
      </c>
      <c r="I194" s="8" t="s">
        <v>39</v>
      </c>
      <c r="J194" s="8" t="s">
        <v>40</v>
      </c>
      <c r="K194" s="8" t="s">
        <v>40</v>
      </c>
      <c r="L194" s="7" t="s">
        <v>41</v>
      </c>
      <c r="M194" s="7" t="s">
        <v>41</v>
      </c>
      <c r="N194" s="7" t="s">
        <v>41</v>
      </c>
    </row>
    <row r="195" ht="36" customHeight="1" spans="1:14" x14ac:dyDescent="0.25">
      <c r="A195" s="9" t="s">
        <v>195</v>
      </c>
      <c r="B195" s="9" t="s">
        <v>559</v>
      </c>
      <c r="C195" s="9" t="s">
        <v>1759</v>
      </c>
      <c r="D195" s="9" t="s">
        <v>1760</v>
      </c>
      <c r="E195" s="9" t="s">
        <v>1761</v>
      </c>
      <c r="F195" s="9" t="s">
        <v>1641</v>
      </c>
      <c r="G195" s="9" t="s">
        <v>1762</v>
      </c>
      <c r="H195" s="9" t="s">
        <v>1763</v>
      </c>
      <c r="I195" s="8" t="s">
        <v>39</v>
      </c>
      <c r="J195" s="8" t="s">
        <v>40</v>
      </c>
      <c r="K195" s="8" t="s">
        <v>40</v>
      </c>
      <c r="L195" s="7" t="s">
        <v>41</v>
      </c>
      <c r="M195" s="7" t="s">
        <v>41</v>
      </c>
      <c r="N195" s="7" t="s">
        <v>41</v>
      </c>
    </row>
    <row r="196" ht="36" customHeight="1" spans="1:14" x14ac:dyDescent="0.25">
      <c r="A196" s="7" t="s">
        <v>202</v>
      </c>
      <c r="B196" s="7" t="s">
        <v>559</v>
      </c>
      <c r="C196" s="7" t="s">
        <v>1764</v>
      </c>
      <c r="D196" s="7" t="s">
        <v>1760</v>
      </c>
      <c r="E196" s="7" t="s">
        <v>1621</v>
      </c>
      <c r="F196" s="7" t="s">
        <v>1765</v>
      </c>
      <c r="G196" s="7" t="s">
        <v>990</v>
      </c>
      <c r="H196" s="7" t="s">
        <v>1766</v>
      </c>
      <c r="I196" s="8" t="s">
        <v>39</v>
      </c>
      <c r="J196" s="8" t="s">
        <v>40</v>
      </c>
      <c r="K196" s="8" t="s">
        <v>40</v>
      </c>
      <c r="L196" s="7" t="s">
        <v>41</v>
      </c>
      <c r="M196" s="7" t="s">
        <v>41</v>
      </c>
      <c r="N196" s="7" t="s">
        <v>41</v>
      </c>
    </row>
    <row r="197" ht="36" customHeight="1" spans="1:14" x14ac:dyDescent="0.25">
      <c r="A197" s="9" t="s">
        <v>207</v>
      </c>
      <c r="B197" s="9" t="s">
        <v>559</v>
      </c>
      <c r="C197" s="9" t="s">
        <v>1767</v>
      </c>
      <c r="D197" s="9" t="s">
        <v>1760</v>
      </c>
      <c r="E197" s="9" t="s">
        <v>204</v>
      </c>
      <c r="F197" s="9" t="s">
        <v>1768</v>
      </c>
      <c r="G197" s="9" t="s">
        <v>1602</v>
      </c>
      <c r="H197" s="9" t="s">
        <v>1769</v>
      </c>
      <c r="I197" s="8" t="s">
        <v>39</v>
      </c>
      <c r="J197" s="8" t="s">
        <v>40</v>
      </c>
      <c r="K197" s="8" t="s">
        <v>40</v>
      </c>
      <c r="L197" s="7" t="s">
        <v>41</v>
      </c>
      <c r="M197" s="7" t="s">
        <v>41</v>
      </c>
      <c r="N197" s="7" t="s">
        <v>41</v>
      </c>
    </row>
    <row r="198" ht="36" customHeight="1" spans="1:14" x14ac:dyDescent="0.25">
      <c r="A198" s="7" t="s">
        <v>213</v>
      </c>
      <c r="B198" s="7" t="s">
        <v>559</v>
      </c>
      <c r="C198" s="7" t="s">
        <v>1770</v>
      </c>
      <c r="D198" s="7" t="s">
        <v>1760</v>
      </c>
      <c r="E198" s="7" t="s">
        <v>204</v>
      </c>
      <c r="F198" s="7" t="s">
        <v>1771</v>
      </c>
      <c r="G198" s="7" t="s">
        <v>1772</v>
      </c>
      <c r="H198" s="7" t="s">
        <v>1773</v>
      </c>
      <c r="I198" s="8" t="s">
        <v>39</v>
      </c>
      <c r="J198" s="8" t="s">
        <v>40</v>
      </c>
      <c r="K198" s="8" t="s">
        <v>40</v>
      </c>
      <c r="L198" s="7" t="s">
        <v>41</v>
      </c>
      <c r="M198" s="7" t="s">
        <v>41</v>
      </c>
      <c r="N198" s="7" t="s">
        <v>41</v>
      </c>
    </row>
    <row r="199" ht="36" customHeight="1" spans="1:14" x14ac:dyDescent="0.25">
      <c r="A199" s="9" t="s">
        <v>218</v>
      </c>
      <c r="B199" s="9" t="s">
        <v>559</v>
      </c>
      <c r="C199" s="9" t="s">
        <v>1774</v>
      </c>
      <c r="D199" s="9" t="s">
        <v>51</v>
      </c>
      <c r="E199" s="9" t="s">
        <v>1775</v>
      </c>
      <c r="F199" s="9" t="s">
        <v>1776</v>
      </c>
      <c r="G199" s="9" t="s">
        <v>1777</v>
      </c>
      <c r="H199" s="9" t="s">
        <v>1778</v>
      </c>
      <c r="I199" s="8" t="s">
        <v>39</v>
      </c>
      <c r="J199" s="8" t="s">
        <v>40</v>
      </c>
      <c r="K199" s="8" t="s">
        <v>40</v>
      </c>
      <c r="L199" s="7" t="s">
        <v>41</v>
      </c>
      <c r="M199" s="7" t="s">
        <v>41</v>
      </c>
      <c r="N199" s="7" t="s">
        <v>41</v>
      </c>
    </row>
    <row r="200" ht="36" customHeight="1" spans="1:14" x14ac:dyDescent="0.25">
      <c r="A200" s="7" t="s">
        <v>225</v>
      </c>
      <c r="B200" s="7" t="s">
        <v>559</v>
      </c>
      <c r="C200" s="7" t="s">
        <v>1779</v>
      </c>
      <c r="D200" s="7" t="s">
        <v>51</v>
      </c>
      <c r="E200" s="7" t="s">
        <v>1780</v>
      </c>
      <c r="F200" s="7" t="s">
        <v>1781</v>
      </c>
      <c r="G200" s="7" t="s">
        <v>1782</v>
      </c>
      <c r="H200" s="7" t="s">
        <v>1783</v>
      </c>
      <c r="I200" s="8" t="s">
        <v>39</v>
      </c>
      <c r="J200" s="8" t="s">
        <v>40</v>
      </c>
      <c r="K200" s="8" t="s">
        <v>40</v>
      </c>
      <c r="L200" s="7" t="s">
        <v>41</v>
      </c>
      <c r="M200" s="7" t="s">
        <v>41</v>
      </c>
      <c r="N200" s="7" t="s">
        <v>41</v>
      </c>
    </row>
    <row r="201" ht="36" customHeight="1" spans="1:14" x14ac:dyDescent="0.25">
      <c r="A201" s="9" t="s">
        <v>232</v>
      </c>
      <c r="B201" s="9" t="s">
        <v>559</v>
      </c>
      <c r="C201" s="9" t="s">
        <v>1784</v>
      </c>
      <c r="D201" s="9" t="s">
        <v>1760</v>
      </c>
      <c r="E201" s="9" t="s">
        <v>1785</v>
      </c>
      <c r="F201" s="9" t="s">
        <v>1786</v>
      </c>
      <c r="G201" s="9" t="s">
        <v>1787</v>
      </c>
      <c r="H201" s="9" t="s">
        <v>1788</v>
      </c>
      <c r="I201" s="8" t="s">
        <v>39</v>
      </c>
      <c r="J201" s="8" t="s">
        <v>40</v>
      </c>
      <c r="K201" s="8" t="s">
        <v>40</v>
      </c>
      <c r="L201" s="7" t="s">
        <v>41</v>
      </c>
      <c r="M201" s="7" t="s">
        <v>41</v>
      </c>
      <c r="N201" s="7" t="s">
        <v>41</v>
      </c>
    </row>
    <row r="202" ht="36" customHeight="1" spans="1:14" x14ac:dyDescent="0.25">
      <c r="A202" s="7" t="s">
        <v>239</v>
      </c>
      <c r="B202" s="7" t="s">
        <v>559</v>
      </c>
      <c r="C202" s="7" t="s">
        <v>1789</v>
      </c>
      <c r="D202" s="7" t="s">
        <v>1760</v>
      </c>
      <c r="E202" s="7" t="s">
        <v>1790</v>
      </c>
      <c r="F202" s="7" t="s">
        <v>1791</v>
      </c>
      <c r="G202" s="7" t="s">
        <v>1792</v>
      </c>
      <c r="H202" s="7" t="s">
        <v>1793</v>
      </c>
      <c r="I202" s="8" t="s">
        <v>39</v>
      </c>
      <c r="J202" s="8" t="s">
        <v>40</v>
      </c>
      <c r="K202" s="8" t="s">
        <v>40</v>
      </c>
      <c r="L202" s="7" t="s">
        <v>41</v>
      </c>
      <c r="M202" s="7" t="s">
        <v>41</v>
      </c>
      <c r="N202" s="7" t="s">
        <v>41</v>
      </c>
    </row>
    <row r="203" ht="36" customHeight="1" spans="1:14" x14ac:dyDescent="0.25">
      <c r="A203" s="9" t="s">
        <v>245</v>
      </c>
      <c r="B203" s="9" t="s">
        <v>559</v>
      </c>
      <c r="C203" s="9" t="s">
        <v>1794</v>
      </c>
      <c r="D203" s="9" t="s">
        <v>1760</v>
      </c>
      <c r="E203" s="9" t="s">
        <v>1795</v>
      </c>
      <c r="F203" s="9" t="s">
        <v>1607</v>
      </c>
      <c r="G203" s="9" t="s">
        <v>1796</v>
      </c>
      <c r="H203" s="9" t="s">
        <v>1797</v>
      </c>
      <c r="I203" s="8" t="s">
        <v>39</v>
      </c>
      <c r="J203" s="8" t="s">
        <v>40</v>
      </c>
      <c r="K203" s="8" t="s">
        <v>40</v>
      </c>
      <c r="L203" s="7" t="s">
        <v>41</v>
      </c>
      <c r="M203" s="7" t="s">
        <v>41</v>
      </c>
      <c r="N203" s="7" t="s">
        <v>41</v>
      </c>
    </row>
    <row r="204" ht="36" customHeight="1" spans="1:14" x14ac:dyDescent="0.25">
      <c r="A204" s="7" t="s">
        <v>252</v>
      </c>
      <c r="B204" s="7" t="s">
        <v>559</v>
      </c>
      <c r="C204" s="7" t="s">
        <v>1798</v>
      </c>
      <c r="D204" s="7" t="s">
        <v>1799</v>
      </c>
      <c r="E204" s="7" t="s">
        <v>204</v>
      </c>
      <c r="F204" s="7" t="s">
        <v>1800</v>
      </c>
      <c r="G204" s="7" t="s">
        <v>1801</v>
      </c>
      <c r="H204" s="7" t="s">
        <v>1802</v>
      </c>
      <c r="I204" s="8" t="s">
        <v>39</v>
      </c>
      <c r="J204" s="8" t="s">
        <v>40</v>
      </c>
      <c r="K204" s="8" t="s">
        <v>40</v>
      </c>
      <c r="L204" s="7" t="s">
        <v>41</v>
      </c>
      <c r="M204" s="7" t="s">
        <v>41</v>
      </c>
      <c r="N204" s="7" t="s">
        <v>41</v>
      </c>
    </row>
    <row r="205" ht="36" customHeight="1" spans="1:14" x14ac:dyDescent="0.25">
      <c r="A205" s="9" t="s">
        <v>1803</v>
      </c>
      <c r="B205" s="9" t="s">
        <v>1804</v>
      </c>
      <c r="C205" s="9" t="s">
        <v>1805</v>
      </c>
      <c r="D205" s="9" t="s">
        <v>91</v>
      </c>
      <c r="E205" s="9" t="s">
        <v>578</v>
      </c>
      <c r="F205" s="9" t="s">
        <v>1806</v>
      </c>
      <c r="G205" s="9" t="s">
        <v>1807</v>
      </c>
      <c r="H205" s="9" t="s">
        <v>1808</v>
      </c>
      <c r="I205" s="8" t="s">
        <v>39</v>
      </c>
      <c r="J205" s="8" t="s">
        <v>40</v>
      </c>
      <c r="K205" s="8" t="s">
        <v>40</v>
      </c>
      <c r="L205" s="7" t="s">
        <v>41</v>
      </c>
      <c r="M205" s="7" t="s">
        <v>41</v>
      </c>
      <c r="N205" s="7" t="s">
        <v>41</v>
      </c>
    </row>
    <row r="206" ht="36" customHeight="1" spans="1:14" x14ac:dyDescent="0.25">
      <c r="A206" s="7" t="s">
        <v>1809</v>
      </c>
      <c r="B206" s="7" t="s">
        <v>1804</v>
      </c>
      <c r="C206" s="7" t="s">
        <v>1810</v>
      </c>
      <c r="D206" s="7" t="s">
        <v>91</v>
      </c>
      <c r="E206" s="7" t="s">
        <v>204</v>
      </c>
      <c r="F206" s="7" t="s">
        <v>1811</v>
      </c>
      <c r="G206" s="7" t="s">
        <v>1812</v>
      </c>
      <c r="H206" s="7" t="s">
        <v>1813</v>
      </c>
      <c r="I206" s="8" t="s">
        <v>39</v>
      </c>
      <c r="J206" s="8" t="s">
        <v>40</v>
      </c>
      <c r="K206" s="8" t="s">
        <v>40</v>
      </c>
      <c r="L206" s="7" t="s">
        <v>41</v>
      </c>
      <c r="M206" s="7" t="s">
        <v>41</v>
      </c>
      <c r="N206" s="7" t="s">
        <v>41</v>
      </c>
    </row>
    <row r="207" ht="36" customHeight="1" spans="1:14" x14ac:dyDescent="0.25">
      <c r="A207" s="9" t="s">
        <v>1814</v>
      </c>
      <c r="B207" s="9" t="s">
        <v>1804</v>
      </c>
      <c r="C207" s="9" t="s">
        <v>1815</v>
      </c>
      <c r="D207" s="9" t="s">
        <v>1816</v>
      </c>
      <c r="E207" s="9" t="s">
        <v>204</v>
      </c>
      <c r="F207" s="9" t="s">
        <v>1081</v>
      </c>
      <c r="G207" s="9" t="s">
        <v>1817</v>
      </c>
      <c r="H207" s="9" t="s">
        <v>1083</v>
      </c>
      <c r="I207" s="8" t="s">
        <v>39</v>
      </c>
      <c r="J207" s="8" t="s">
        <v>40</v>
      </c>
      <c r="K207" s="8" t="s">
        <v>40</v>
      </c>
      <c r="L207" s="7" t="s">
        <v>41</v>
      </c>
      <c r="M207" s="7" t="s">
        <v>41</v>
      </c>
      <c r="N207" s="7" t="s">
        <v>41</v>
      </c>
    </row>
    <row r="208" ht="36" customHeight="1" spans="1:14" x14ac:dyDescent="0.25">
      <c r="A208" s="7" t="s">
        <v>1818</v>
      </c>
      <c r="B208" s="7" t="s">
        <v>1804</v>
      </c>
      <c r="C208" s="7" t="s">
        <v>1819</v>
      </c>
      <c r="D208" s="7" t="s">
        <v>91</v>
      </c>
      <c r="E208" s="7" t="s">
        <v>1820</v>
      </c>
      <c r="F208" s="7" t="s">
        <v>1821</v>
      </c>
      <c r="G208" s="7" t="s">
        <v>1822</v>
      </c>
      <c r="H208" s="7" t="s">
        <v>1823</v>
      </c>
      <c r="I208" s="8" t="s">
        <v>39</v>
      </c>
      <c r="J208" s="8" t="s">
        <v>40</v>
      </c>
      <c r="K208" s="8" t="s">
        <v>40</v>
      </c>
      <c r="L208" s="7" t="s">
        <v>41</v>
      </c>
      <c r="M208" s="7" t="s">
        <v>41</v>
      </c>
      <c r="N208" s="7" t="s">
        <v>41</v>
      </c>
    </row>
    <row r="209" ht="36" customHeight="1" spans="1:14" x14ac:dyDescent="0.25">
      <c r="A209" s="9" t="s">
        <v>1824</v>
      </c>
      <c r="B209" s="9" t="s">
        <v>1804</v>
      </c>
      <c r="C209" s="9" t="s">
        <v>1825</v>
      </c>
      <c r="D209" s="9" t="s">
        <v>91</v>
      </c>
      <c r="E209" s="9" t="s">
        <v>1826</v>
      </c>
      <c r="F209" s="9" t="s">
        <v>1827</v>
      </c>
      <c r="G209" s="9" t="s">
        <v>1099</v>
      </c>
      <c r="H209" s="9" t="s">
        <v>1106</v>
      </c>
      <c r="I209" s="8" t="s">
        <v>39</v>
      </c>
      <c r="J209" s="8" t="s">
        <v>40</v>
      </c>
      <c r="K209" s="8" t="s">
        <v>40</v>
      </c>
      <c r="L209" s="7" t="s">
        <v>41</v>
      </c>
      <c r="M209" s="7" t="s">
        <v>41</v>
      </c>
      <c r="N209" s="7" t="s">
        <v>41</v>
      </c>
    </row>
    <row r="210" ht="36" customHeight="1" spans="1:14" x14ac:dyDescent="0.25">
      <c r="A210" s="7" t="s">
        <v>1828</v>
      </c>
      <c r="B210" s="7" t="s">
        <v>1829</v>
      </c>
      <c r="C210" s="7" t="s">
        <v>943</v>
      </c>
      <c r="D210" s="7" t="s">
        <v>34</v>
      </c>
      <c r="E210" s="7" t="s">
        <v>79</v>
      </c>
      <c r="F210" s="7" t="s">
        <v>1830</v>
      </c>
      <c r="G210" s="7" t="s">
        <v>1831</v>
      </c>
      <c r="H210" s="7" t="s">
        <v>1832</v>
      </c>
      <c r="I210" s="8" t="s">
        <v>39</v>
      </c>
      <c r="J210" s="8" t="s">
        <v>40</v>
      </c>
      <c r="K210" s="8" t="s">
        <v>40</v>
      </c>
      <c r="L210" s="7" t="s">
        <v>41</v>
      </c>
      <c r="M210" s="7" t="s">
        <v>41</v>
      </c>
      <c r="N210" s="7" t="s">
        <v>41</v>
      </c>
    </row>
    <row r="211" ht="36" customHeight="1" spans="1:14" x14ac:dyDescent="0.25">
      <c r="A211" s="9" t="s">
        <v>1833</v>
      </c>
      <c r="B211" s="9" t="s">
        <v>1829</v>
      </c>
      <c r="C211" s="9" t="s">
        <v>1834</v>
      </c>
      <c r="D211" s="9" t="s">
        <v>34</v>
      </c>
      <c r="E211" s="9" t="s">
        <v>204</v>
      </c>
      <c r="F211" s="9" t="s">
        <v>1835</v>
      </c>
      <c r="G211" s="9" t="s">
        <v>1836</v>
      </c>
      <c r="H211" s="9" t="s">
        <v>1837</v>
      </c>
      <c r="I211" s="8" t="s">
        <v>39</v>
      </c>
      <c r="J211" s="8" t="s">
        <v>40</v>
      </c>
      <c r="K211" s="8" t="s">
        <v>40</v>
      </c>
      <c r="L211" s="7" t="s">
        <v>41</v>
      </c>
      <c r="M211" s="7" t="s">
        <v>41</v>
      </c>
      <c r="N211" s="7" t="s">
        <v>41</v>
      </c>
    </row>
    <row r="212" ht="36" customHeight="1" spans="1:14" x14ac:dyDescent="0.25">
      <c r="A212" s="7" t="s">
        <v>1838</v>
      </c>
      <c r="B212" s="7" t="s">
        <v>1829</v>
      </c>
      <c r="C212" s="7" t="s">
        <v>1839</v>
      </c>
      <c r="D212" s="7" t="s">
        <v>368</v>
      </c>
      <c r="E212" s="7" t="s">
        <v>204</v>
      </c>
      <c r="F212" s="7" t="s">
        <v>1840</v>
      </c>
      <c r="G212" s="7" t="s">
        <v>1602</v>
      </c>
      <c r="H212" s="7" t="s">
        <v>1841</v>
      </c>
      <c r="I212" s="8" t="s">
        <v>39</v>
      </c>
      <c r="J212" s="8" t="s">
        <v>40</v>
      </c>
      <c r="K212" s="8" t="s">
        <v>40</v>
      </c>
      <c r="L212" s="7" t="s">
        <v>41</v>
      </c>
      <c r="M212" s="7" t="s">
        <v>41</v>
      </c>
      <c r="N212" s="7" t="s">
        <v>41</v>
      </c>
    </row>
    <row r="213" ht="36" customHeight="1" spans="1:14" x14ac:dyDescent="0.25">
      <c r="A213" s="9" t="s">
        <v>1842</v>
      </c>
      <c r="B213" s="9" t="s">
        <v>1829</v>
      </c>
      <c r="C213" s="9" t="s">
        <v>1843</v>
      </c>
      <c r="D213" s="9" t="s">
        <v>405</v>
      </c>
      <c r="E213" s="9" t="s">
        <v>204</v>
      </c>
      <c r="F213" s="9" t="s">
        <v>1844</v>
      </c>
      <c r="G213" s="9" t="s">
        <v>1845</v>
      </c>
      <c r="H213" s="9" t="s">
        <v>1071</v>
      </c>
      <c r="I213" s="8" t="s">
        <v>39</v>
      </c>
      <c r="J213" s="8" t="s">
        <v>40</v>
      </c>
      <c r="K213" s="8" t="s">
        <v>40</v>
      </c>
      <c r="L213" s="7" t="s">
        <v>41</v>
      </c>
      <c r="M213" s="7" t="s">
        <v>41</v>
      </c>
      <c r="N213" s="7" t="s">
        <v>41</v>
      </c>
    </row>
    <row r="214" ht="36" customHeight="1" spans="1:14" x14ac:dyDescent="0.25">
      <c r="A214" s="7" t="s">
        <v>1846</v>
      </c>
      <c r="B214" s="7" t="s">
        <v>1829</v>
      </c>
      <c r="C214" s="7" t="s">
        <v>1847</v>
      </c>
      <c r="D214" s="7" t="s">
        <v>34</v>
      </c>
      <c r="E214" s="7" t="s">
        <v>204</v>
      </c>
      <c r="F214" s="7" t="s">
        <v>1848</v>
      </c>
      <c r="G214" s="7" t="s">
        <v>1602</v>
      </c>
      <c r="H214" s="7" t="s">
        <v>1849</v>
      </c>
      <c r="I214" s="8" t="s">
        <v>39</v>
      </c>
      <c r="J214" s="8" t="s">
        <v>40</v>
      </c>
      <c r="K214" s="8" t="s">
        <v>40</v>
      </c>
      <c r="L214" s="7" t="s">
        <v>41</v>
      </c>
      <c r="M214" s="7" t="s">
        <v>41</v>
      </c>
      <c r="N214" s="7" t="s">
        <v>41</v>
      </c>
    </row>
    <row r="215" ht="36" customHeight="1" spans="1:14" x14ac:dyDescent="0.25">
      <c r="A215" s="9" t="s">
        <v>1850</v>
      </c>
      <c r="B215" s="9" t="s">
        <v>1829</v>
      </c>
      <c r="C215" s="9" t="s">
        <v>1851</v>
      </c>
      <c r="D215" s="9" t="s">
        <v>34</v>
      </c>
      <c r="E215" s="9" t="s">
        <v>204</v>
      </c>
      <c r="F215" s="9" t="s">
        <v>1852</v>
      </c>
      <c r="G215" s="9" t="s">
        <v>1853</v>
      </c>
      <c r="H215" s="9" t="s">
        <v>1854</v>
      </c>
      <c r="I215" s="8" t="s">
        <v>39</v>
      </c>
      <c r="J215" s="8" t="s">
        <v>40</v>
      </c>
      <c r="K215" s="8" t="s">
        <v>40</v>
      </c>
      <c r="L215" s="7" t="s">
        <v>41</v>
      </c>
      <c r="M215" s="7" t="s">
        <v>41</v>
      </c>
      <c r="N215" s="7" t="s">
        <v>41</v>
      </c>
    </row>
    <row r="216" ht="36" customHeight="1" spans="1:14" x14ac:dyDescent="0.25">
      <c r="A216" s="7" t="s">
        <v>1855</v>
      </c>
      <c r="B216" s="7" t="s">
        <v>1829</v>
      </c>
      <c r="C216" s="7" t="s">
        <v>1856</v>
      </c>
      <c r="D216" s="7" t="s">
        <v>34</v>
      </c>
      <c r="E216" s="7" t="s">
        <v>362</v>
      </c>
      <c r="F216" s="7" t="s">
        <v>1857</v>
      </c>
      <c r="G216" s="7" t="s">
        <v>1858</v>
      </c>
      <c r="H216" s="7" t="s">
        <v>365</v>
      </c>
      <c r="I216" s="8" t="s">
        <v>39</v>
      </c>
      <c r="J216" s="8" t="s">
        <v>40</v>
      </c>
      <c r="K216" s="8" t="s">
        <v>40</v>
      </c>
      <c r="L216" s="7" t="s">
        <v>41</v>
      </c>
      <c r="M216" s="7" t="s">
        <v>41</v>
      </c>
      <c r="N216" s="7" t="s">
        <v>41</v>
      </c>
    </row>
    <row r="217" ht="36" customHeight="1" spans="1:14" x14ac:dyDescent="0.25">
      <c r="A217" s="9" t="s">
        <v>1859</v>
      </c>
      <c r="B217" s="9" t="s">
        <v>1829</v>
      </c>
      <c r="C217" s="9" t="s">
        <v>1860</v>
      </c>
      <c r="D217" s="9" t="s">
        <v>368</v>
      </c>
      <c r="E217" s="9" t="s">
        <v>204</v>
      </c>
      <c r="F217" s="9" t="s">
        <v>1861</v>
      </c>
      <c r="G217" s="9" t="s">
        <v>1656</v>
      </c>
      <c r="H217" s="9" t="s">
        <v>1862</v>
      </c>
      <c r="I217" s="8" t="s">
        <v>39</v>
      </c>
      <c r="J217" s="8" t="s">
        <v>40</v>
      </c>
      <c r="K217" s="8" t="s">
        <v>40</v>
      </c>
      <c r="L217" s="7" t="s">
        <v>41</v>
      </c>
      <c r="M217" s="7" t="s">
        <v>41</v>
      </c>
      <c r="N217" s="7" t="s">
        <v>41</v>
      </c>
    </row>
    <row r="218" ht="36" customHeight="1" spans="1:14" x14ac:dyDescent="0.25">
      <c r="A218" s="7" t="s">
        <v>1863</v>
      </c>
      <c r="B218" s="7" t="s">
        <v>1829</v>
      </c>
      <c r="C218" s="7" t="s">
        <v>1864</v>
      </c>
      <c r="D218" s="7" t="s">
        <v>368</v>
      </c>
      <c r="E218" s="7" t="s">
        <v>204</v>
      </c>
      <c r="F218" s="7" t="s">
        <v>1865</v>
      </c>
      <c r="G218" s="7" t="s">
        <v>1866</v>
      </c>
      <c r="H218" s="7" t="s">
        <v>388</v>
      </c>
      <c r="I218" s="8" t="s">
        <v>39</v>
      </c>
      <c r="J218" s="8" t="s">
        <v>40</v>
      </c>
      <c r="K218" s="8" t="s">
        <v>40</v>
      </c>
      <c r="L218" s="7" t="s">
        <v>41</v>
      </c>
      <c r="M218" s="7" t="s">
        <v>41</v>
      </c>
      <c r="N218" s="7" t="s">
        <v>41</v>
      </c>
    </row>
    <row r="219" ht="36" customHeight="1" spans="1:14" x14ac:dyDescent="0.25">
      <c r="A219" s="9" t="s">
        <v>1867</v>
      </c>
      <c r="B219" s="9" t="s">
        <v>1829</v>
      </c>
      <c r="C219" s="9" t="s">
        <v>1868</v>
      </c>
      <c r="D219" s="9" t="s">
        <v>368</v>
      </c>
      <c r="E219" s="9" t="s">
        <v>204</v>
      </c>
      <c r="F219" s="9" t="s">
        <v>1869</v>
      </c>
      <c r="G219" s="9" t="s">
        <v>1870</v>
      </c>
      <c r="H219" s="9" t="s">
        <v>388</v>
      </c>
      <c r="I219" s="8" t="s">
        <v>39</v>
      </c>
      <c r="J219" s="8" t="s">
        <v>40</v>
      </c>
      <c r="K219" s="8" t="s">
        <v>40</v>
      </c>
      <c r="L219" s="7" t="s">
        <v>41</v>
      </c>
      <c r="M219" s="7" t="s">
        <v>41</v>
      </c>
      <c r="N219" s="7" t="s">
        <v>41</v>
      </c>
    </row>
    <row r="220" ht="36" customHeight="1" spans="1:14" x14ac:dyDescent="0.25">
      <c r="A220" s="7" t="s">
        <v>1871</v>
      </c>
      <c r="B220" s="7" t="s">
        <v>1829</v>
      </c>
      <c r="C220" s="7" t="s">
        <v>1872</v>
      </c>
      <c r="D220" s="7" t="s">
        <v>34</v>
      </c>
      <c r="E220" s="7" t="s">
        <v>204</v>
      </c>
      <c r="F220" s="7" t="s">
        <v>1873</v>
      </c>
      <c r="G220" s="7" t="s">
        <v>1874</v>
      </c>
      <c r="H220" s="7" t="s">
        <v>1875</v>
      </c>
      <c r="I220" s="8" t="s">
        <v>39</v>
      </c>
      <c r="J220" s="8" t="s">
        <v>40</v>
      </c>
      <c r="K220" s="8" t="s">
        <v>40</v>
      </c>
      <c r="L220" s="7" t="s">
        <v>41</v>
      </c>
      <c r="M220" s="7" t="s">
        <v>41</v>
      </c>
      <c r="N220" s="7" t="s">
        <v>41</v>
      </c>
    </row>
    <row r="221" ht="36" customHeight="1" spans="1:14" x14ac:dyDescent="0.25">
      <c r="A221" s="9" t="s">
        <v>1876</v>
      </c>
      <c r="B221" s="9" t="s">
        <v>1829</v>
      </c>
      <c r="C221" s="9" t="s">
        <v>1877</v>
      </c>
      <c r="D221" s="9" t="s">
        <v>405</v>
      </c>
      <c r="E221" s="9" t="s">
        <v>204</v>
      </c>
      <c r="F221" s="9" t="s">
        <v>1878</v>
      </c>
      <c r="G221" s="9" t="s">
        <v>1845</v>
      </c>
      <c r="H221" s="9" t="s">
        <v>1879</v>
      </c>
      <c r="I221" s="8" t="s">
        <v>39</v>
      </c>
      <c r="J221" s="8" t="s">
        <v>40</v>
      </c>
      <c r="K221" s="8" t="s">
        <v>40</v>
      </c>
      <c r="L221" s="7" t="s">
        <v>41</v>
      </c>
      <c r="M221" s="7" t="s">
        <v>41</v>
      </c>
      <c r="N221" s="7" t="s">
        <v>41</v>
      </c>
    </row>
    <row r="222" ht="36" customHeight="1" spans="1:14" x14ac:dyDescent="0.25">
      <c r="A222" s="7" t="s">
        <v>1880</v>
      </c>
      <c r="B222" s="7" t="s">
        <v>1829</v>
      </c>
      <c r="C222" s="7" t="s">
        <v>338</v>
      </c>
      <c r="D222" s="7" t="s">
        <v>34</v>
      </c>
      <c r="E222" s="7" t="s">
        <v>254</v>
      </c>
      <c r="F222" s="7" t="s">
        <v>1881</v>
      </c>
      <c r="G222" s="7" t="s">
        <v>1882</v>
      </c>
      <c r="H222" s="7" t="s">
        <v>339</v>
      </c>
      <c r="I222" s="8" t="s">
        <v>39</v>
      </c>
      <c r="J222" s="8" t="s">
        <v>40</v>
      </c>
      <c r="K222" s="8" t="s">
        <v>40</v>
      </c>
      <c r="L222" s="7" t="s">
        <v>41</v>
      </c>
      <c r="M222" s="7" t="s">
        <v>41</v>
      </c>
      <c r="N222" s="7" t="s">
        <v>41</v>
      </c>
    </row>
    <row r="223" ht="36" customHeight="1" spans="1:14" x14ac:dyDescent="0.25">
      <c r="A223" s="9" t="s">
        <v>1883</v>
      </c>
      <c r="B223" s="9" t="s">
        <v>1829</v>
      </c>
      <c r="C223" s="9" t="s">
        <v>1884</v>
      </c>
      <c r="D223" s="9" t="s">
        <v>34</v>
      </c>
      <c r="E223" s="9" t="s">
        <v>1885</v>
      </c>
      <c r="F223" s="9" t="s">
        <v>660</v>
      </c>
      <c r="G223" s="9" t="s">
        <v>1886</v>
      </c>
      <c r="H223" s="9" t="s">
        <v>1887</v>
      </c>
      <c r="I223" s="8" t="s">
        <v>39</v>
      </c>
      <c r="J223" s="8" t="s">
        <v>40</v>
      </c>
      <c r="K223" s="8" t="s">
        <v>40</v>
      </c>
      <c r="L223" s="7" t="s">
        <v>41</v>
      </c>
      <c r="M223" s="7" t="s">
        <v>41</v>
      </c>
      <c r="N223" s="7" t="s">
        <v>41</v>
      </c>
    </row>
    <row r="224" ht="36" customHeight="1" spans="1:14" x14ac:dyDescent="0.25">
      <c r="A224" s="7" t="s">
        <v>1888</v>
      </c>
      <c r="B224" s="7" t="s">
        <v>1829</v>
      </c>
      <c r="C224" s="7" t="s">
        <v>1889</v>
      </c>
      <c r="D224" s="7" t="s">
        <v>34</v>
      </c>
      <c r="E224" s="7" t="s">
        <v>204</v>
      </c>
      <c r="F224" s="7" t="s">
        <v>1890</v>
      </c>
      <c r="G224" s="7" t="s">
        <v>1891</v>
      </c>
      <c r="H224" s="7" t="s">
        <v>1892</v>
      </c>
      <c r="I224" s="8" t="s">
        <v>39</v>
      </c>
      <c r="J224" s="8" t="s">
        <v>40</v>
      </c>
      <c r="K224" s="8" t="s">
        <v>40</v>
      </c>
      <c r="L224" s="7" t="s">
        <v>41</v>
      </c>
      <c r="M224" s="7" t="s">
        <v>41</v>
      </c>
      <c r="N224" s="7" t="s">
        <v>41</v>
      </c>
    </row>
    <row r="225" ht="36" customHeight="1" spans="1:14" x14ac:dyDescent="0.25">
      <c r="A225" s="9" t="s">
        <v>1893</v>
      </c>
      <c r="B225" s="9" t="s">
        <v>321</v>
      </c>
      <c r="C225" s="9" t="s">
        <v>1894</v>
      </c>
      <c r="D225" s="9" t="s">
        <v>104</v>
      </c>
      <c r="E225" s="9" t="s">
        <v>204</v>
      </c>
      <c r="F225" s="9" t="s">
        <v>107</v>
      </c>
      <c r="G225" s="9" t="s">
        <v>1895</v>
      </c>
      <c r="H225" s="9" t="s">
        <v>1896</v>
      </c>
      <c r="I225" s="8" t="s">
        <v>39</v>
      </c>
      <c r="J225" s="8" t="s">
        <v>40</v>
      </c>
      <c r="K225" s="8" t="s">
        <v>40</v>
      </c>
      <c r="L225" s="7" t="s">
        <v>41</v>
      </c>
      <c r="M225" s="7" t="s">
        <v>41</v>
      </c>
      <c r="N225" s="7" t="s">
        <v>41</v>
      </c>
    </row>
    <row r="226" ht="36" customHeight="1" spans="1:14" x14ac:dyDescent="0.25">
      <c r="A226" s="7" t="s">
        <v>1897</v>
      </c>
      <c r="B226" s="7" t="s">
        <v>321</v>
      </c>
      <c r="C226" s="7" t="s">
        <v>1898</v>
      </c>
      <c r="D226" s="7" t="s">
        <v>104</v>
      </c>
      <c r="E226" s="7" t="s">
        <v>204</v>
      </c>
      <c r="F226" s="7" t="s">
        <v>1899</v>
      </c>
      <c r="G226" s="7" t="s">
        <v>1900</v>
      </c>
      <c r="H226" s="7" t="s">
        <v>1901</v>
      </c>
      <c r="I226" s="8" t="s">
        <v>39</v>
      </c>
      <c r="J226" s="8" t="s">
        <v>40</v>
      </c>
      <c r="K226" s="8" t="s">
        <v>40</v>
      </c>
      <c r="L226" s="7" t="s">
        <v>41</v>
      </c>
      <c r="M226" s="7" t="s">
        <v>41</v>
      </c>
      <c r="N226" s="7" t="s">
        <v>41</v>
      </c>
    </row>
    <row r="227" ht="36" customHeight="1" spans="1:14" x14ac:dyDescent="0.25">
      <c r="A227" s="9" t="s">
        <v>1902</v>
      </c>
      <c r="B227" s="9" t="s">
        <v>321</v>
      </c>
      <c r="C227" s="9" t="s">
        <v>1903</v>
      </c>
      <c r="D227" s="9" t="s">
        <v>104</v>
      </c>
      <c r="E227" s="9" t="s">
        <v>204</v>
      </c>
      <c r="F227" s="9" t="s">
        <v>1904</v>
      </c>
      <c r="G227" s="9" t="s">
        <v>1905</v>
      </c>
      <c r="H227" s="9" t="s">
        <v>1906</v>
      </c>
      <c r="I227" s="8" t="s">
        <v>39</v>
      </c>
      <c r="J227" s="8" t="s">
        <v>40</v>
      </c>
      <c r="K227" s="8" t="s">
        <v>40</v>
      </c>
      <c r="L227" s="7" t="s">
        <v>41</v>
      </c>
      <c r="M227" s="7" t="s">
        <v>41</v>
      </c>
      <c r="N227" s="7" t="s">
        <v>41</v>
      </c>
    </row>
    <row r="228" ht="36" customHeight="1" spans="1:14" x14ac:dyDescent="0.25">
      <c r="A228" s="7" t="s">
        <v>1907</v>
      </c>
      <c r="B228" s="7" t="s">
        <v>321</v>
      </c>
      <c r="C228" s="7" t="s">
        <v>1908</v>
      </c>
      <c r="D228" s="7" t="s">
        <v>104</v>
      </c>
      <c r="E228" s="7" t="s">
        <v>204</v>
      </c>
      <c r="F228" s="7" t="s">
        <v>1909</v>
      </c>
      <c r="G228" s="7" t="s">
        <v>1910</v>
      </c>
      <c r="H228" s="7" t="s">
        <v>1911</v>
      </c>
      <c r="I228" s="8" t="s">
        <v>39</v>
      </c>
      <c r="J228" s="8" t="s">
        <v>40</v>
      </c>
      <c r="K228" s="8" t="s">
        <v>40</v>
      </c>
      <c r="L228" s="7" t="s">
        <v>41</v>
      </c>
      <c r="M228" s="7" t="s">
        <v>41</v>
      </c>
      <c r="N228" s="7" t="s">
        <v>41</v>
      </c>
    </row>
    <row r="229" ht="36" customHeight="1" spans="1:14" x14ac:dyDescent="0.25">
      <c r="A229" s="9" t="s">
        <v>1912</v>
      </c>
      <c r="B229" s="9" t="s">
        <v>321</v>
      </c>
      <c r="C229" s="9" t="s">
        <v>1913</v>
      </c>
      <c r="D229" s="9" t="s">
        <v>104</v>
      </c>
      <c r="E229" s="9" t="s">
        <v>204</v>
      </c>
      <c r="F229" s="9" t="s">
        <v>1914</v>
      </c>
      <c r="G229" s="9" t="s">
        <v>648</v>
      </c>
      <c r="H229" s="9" t="s">
        <v>1915</v>
      </c>
      <c r="I229" s="8" t="s">
        <v>39</v>
      </c>
      <c r="J229" s="8" t="s">
        <v>40</v>
      </c>
      <c r="K229" s="8" t="s">
        <v>40</v>
      </c>
      <c r="L229" s="7" t="s">
        <v>41</v>
      </c>
      <c r="M229" s="7" t="s">
        <v>41</v>
      </c>
      <c r="N229" s="7" t="s">
        <v>41</v>
      </c>
    </row>
    <row r="230" ht="36" customHeight="1" spans="1:14" x14ac:dyDescent="0.25">
      <c r="A230" s="7" t="s">
        <v>1916</v>
      </c>
      <c r="B230" s="7" t="s">
        <v>321</v>
      </c>
      <c r="C230" s="7" t="s">
        <v>1917</v>
      </c>
      <c r="D230" s="7" t="s">
        <v>104</v>
      </c>
      <c r="E230" s="7" t="s">
        <v>204</v>
      </c>
      <c r="F230" s="7" t="s">
        <v>1918</v>
      </c>
      <c r="G230" s="7" t="s">
        <v>1919</v>
      </c>
      <c r="H230" s="7" t="s">
        <v>1920</v>
      </c>
      <c r="I230" s="8" t="s">
        <v>39</v>
      </c>
      <c r="J230" s="8" t="s">
        <v>40</v>
      </c>
      <c r="K230" s="8" t="s">
        <v>40</v>
      </c>
      <c r="L230" s="7" t="s">
        <v>41</v>
      </c>
      <c r="M230" s="7" t="s">
        <v>41</v>
      </c>
      <c r="N230" s="7" t="s">
        <v>41</v>
      </c>
    </row>
    <row r="231" ht="36" customHeight="1" spans="1:14" x14ac:dyDescent="0.25">
      <c r="A231" s="9" t="s">
        <v>1921</v>
      </c>
      <c r="B231" s="9" t="s">
        <v>321</v>
      </c>
      <c r="C231" s="9" t="s">
        <v>1922</v>
      </c>
      <c r="D231" s="9" t="s">
        <v>104</v>
      </c>
      <c r="E231" s="9" t="s">
        <v>204</v>
      </c>
      <c r="F231" s="9" t="s">
        <v>1923</v>
      </c>
      <c r="G231" s="9" t="s">
        <v>1924</v>
      </c>
      <c r="H231" s="9" t="s">
        <v>1925</v>
      </c>
      <c r="I231" s="8" t="s">
        <v>39</v>
      </c>
      <c r="J231" s="8" t="s">
        <v>40</v>
      </c>
      <c r="K231" s="8" t="s">
        <v>40</v>
      </c>
      <c r="L231" s="7" t="s">
        <v>41</v>
      </c>
      <c r="M231" s="7" t="s">
        <v>41</v>
      </c>
      <c r="N231" s="7" t="s">
        <v>41</v>
      </c>
    </row>
    <row r="232" ht="36" customHeight="1" spans="1:14" x14ac:dyDescent="0.25">
      <c r="A232" s="7" t="s">
        <v>1926</v>
      </c>
      <c r="B232" s="7" t="s">
        <v>321</v>
      </c>
      <c r="C232" s="7" t="s">
        <v>1927</v>
      </c>
      <c r="D232" s="7" t="s">
        <v>104</v>
      </c>
      <c r="E232" s="7" t="s">
        <v>204</v>
      </c>
      <c r="F232" s="7" t="s">
        <v>1928</v>
      </c>
      <c r="G232" s="7" t="s">
        <v>1929</v>
      </c>
      <c r="H232" s="7" t="s">
        <v>1930</v>
      </c>
      <c r="I232" s="8" t="s">
        <v>39</v>
      </c>
      <c r="J232" s="8" t="s">
        <v>40</v>
      </c>
      <c r="K232" s="8" t="s">
        <v>40</v>
      </c>
      <c r="L232" s="7" t="s">
        <v>41</v>
      </c>
      <c r="M232" s="7" t="s">
        <v>41</v>
      </c>
      <c r="N232" s="7" t="s">
        <v>41</v>
      </c>
    </row>
    <row r="233" ht="36" customHeight="1" spans="1:14" x14ac:dyDescent="0.25">
      <c r="A233" s="9" t="s">
        <v>1931</v>
      </c>
      <c r="B233" s="9" t="s">
        <v>321</v>
      </c>
      <c r="C233" s="9" t="s">
        <v>1932</v>
      </c>
      <c r="D233" s="9" t="s">
        <v>104</v>
      </c>
      <c r="E233" s="9" t="s">
        <v>204</v>
      </c>
      <c r="F233" s="9" t="s">
        <v>1933</v>
      </c>
      <c r="G233" s="9" t="s">
        <v>1934</v>
      </c>
      <c r="H233" s="9" t="s">
        <v>1935</v>
      </c>
      <c r="I233" s="8" t="s">
        <v>39</v>
      </c>
      <c r="J233" s="8" t="s">
        <v>40</v>
      </c>
      <c r="K233" s="8" t="s">
        <v>40</v>
      </c>
      <c r="L233" s="7" t="s">
        <v>41</v>
      </c>
      <c r="M233" s="7" t="s">
        <v>41</v>
      </c>
      <c r="N233" s="7" t="s">
        <v>41</v>
      </c>
    </row>
    <row r="234" ht="36" customHeight="1" spans="1:14" x14ac:dyDescent="0.25">
      <c r="A234" s="7" t="s">
        <v>1936</v>
      </c>
      <c r="B234" s="7" t="s">
        <v>321</v>
      </c>
      <c r="C234" s="7" t="s">
        <v>1937</v>
      </c>
      <c r="D234" s="7" t="s">
        <v>104</v>
      </c>
      <c r="E234" s="7" t="s">
        <v>204</v>
      </c>
      <c r="F234" s="7" t="s">
        <v>1938</v>
      </c>
      <c r="G234" s="7" t="s">
        <v>1602</v>
      </c>
      <c r="H234" s="7" t="s">
        <v>1939</v>
      </c>
      <c r="I234" s="8" t="s">
        <v>39</v>
      </c>
      <c r="J234" s="8" t="s">
        <v>40</v>
      </c>
      <c r="K234" s="8" t="s">
        <v>40</v>
      </c>
      <c r="L234" s="7" t="s">
        <v>41</v>
      </c>
      <c r="M234" s="7" t="s">
        <v>41</v>
      </c>
      <c r="N234" s="7" t="s">
        <v>41</v>
      </c>
    </row>
    <row r="235" ht="36" customHeight="1" spans="1:14" x14ac:dyDescent="0.25">
      <c r="A235" s="9" t="s">
        <v>1940</v>
      </c>
      <c r="B235" s="9" t="s">
        <v>321</v>
      </c>
      <c r="C235" s="9" t="s">
        <v>1941</v>
      </c>
      <c r="D235" s="9" t="s">
        <v>104</v>
      </c>
      <c r="E235" s="9" t="s">
        <v>204</v>
      </c>
      <c r="F235" s="9" t="s">
        <v>1942</v>
      </c>
      <c r="G235" s="9" t="s">
        <v>1943</v>
      </c>
      <c r="H235" s="9" t="s">
        <v>1944</v>
      </c>
      <c r="I235" s="8" t="s">
        <v>39</v>
      </c>
      <c r="J235" s="8" t="s">
        <v>40</v>
      </c>
      <c r="K235" s="8" t="s">
        <v>40</v>
      </c>
      <c r="L235" s="7" t="s">
        <v>41</v>
      </c>
      <c r="M235" s="7" t="s">
        <v>41</v>
      </c>
      <c r="N235" s="7" t="s">
        <v>41</v>
      </c>
    </row>
    <row r="236" ht="36" customHeight="1" spans="1:14" x14ac:dyDescent="0.25">
      <c r="A236" s="7" t="s">
        <v>1945</v>
      </c>
      <c r="B236" s="7" t="s">
        <v>321</v>
      </c>
      <c r="C236" s="7" t="s">
        <v>1946</v>
      </c>
      <c r="D236" s="7" t="s">
        <v>34</v>
      </c>
      <c r="E236" s="7" t="s">
        <v>204</v>
      </c>
      <c r="F236" s="7" t="s">
        <v>1947</v>
      </c>
      <c r="G236" s="7" t="s">
        <v>187</v>
      </c>
      <c r="H236" s="7" t="s">
        <v>1948</v>
      </c>
      <c r="I236" s="8" t="s">
        <v>39</v>
      </c>
      <c r="J236" s="8" t="s">
        <v>40</v>
      </c>
      <c r="K236" s="8" t="s">
        <v>40</v>
      </c>
      <c r="L236" s="7" t="s">
        <v>41</v>
      </c>
      <c r="M236" s="7" t="s">
        <v>41</v>
      </c>
      <c r="N236" s="7" t="s">
        <v>41</v>
      </c>
    </row>
    <row r="237" ht="36" customHeight="1" spans="1:14" x14ac:dyDescent="0.25">
      <c r="A237" s="9" t="s">
        <v>1949</v>
      </c>
      <c r="B237" s="9" t="s">
        <v>1950</v>
      </c>
      <c r="C237" s="9" t="s">
        <v>1951</v>
      </c>
      <c r="D237" s="9" t="s">
        <v>34</v>
      </c>
      <c r="E237" s="9" t="s">
        <v>1952</v>
      </c>
      <c r="F237" s="9" t="s">
        <v>1953</v>
      </c>
      <c r="G237" s="9" t="s">
        <v>1954</v>
      </c>
      <c r="H237" s="9" t="s">
        <v>1955</v>
      </c>
      <c r="I237" s="8" t="s">
        <v>39</v>
      </c>
      <c r="J237" s="8" t="s">
        <v>40</v>
      </c>
      <c r="K237" s="8" t="s">
        <v>40</v>
      </c>
      <c r="L237" s="7" t="s">
        <v>41</v>
      </c>
      <c r="M237" s="7" t="s">
        <v>41</v>
      </c>
      <c r="N237" s="7" t="s">
        <v>41</v>
      </c>
    </row>
    <row r="238" ht="36" customHeight="1" spans="1:14" x14ac:dyDescent="0.25">
      <c r="A238" s="7" t="s">
        <v>1956</v>
      </c>
      <c r="B238" s="7" t="s">
        <v>1950</v>
      </c>
      <c r="C238" s="7" t="s">
        <v>1957</v>
      </c>
      <c r="D238" s="7" t="s">
        <v>51</v>
      </c>
      <c r="E238" s="7" t="s">
        <v>1958</v>
      </c>
      <c r="F238" s="7" t="s">
        <v>1959</v>
      </c>
      <c r="G238" s="7" t="s">
        <v>1960</v>
      </c>
      <c r="H238" s="7" t="s">
        <v>1961</v>
      </c>
      <c r="I238" s="8" t="s">
        <v>39</v>
      </c>
      <c r="J238" s="8" t="s">
        <v>40</v>
      </c>
      <c r="K238" s="8" t="s">
        <v>40</v>
      </c>
      <c r="L238" s="7" t="s">
        <v>41</v>
      </c>
      <c r="M238" s="7" t="s">
        <v>41</v>
      </c>
      <c r="N238" s="7" t="s">
        <v>41</v>
      </c>
    </row>
    <row r="239" ht="36" customHeight="1" spans="1:14" x14ac:dyDescent="0.25">
      <c r="A239" s="9" t="s">
        <v>1962</v>
      </c>
      <c r="B239" s="9" t="s">
        <v>1950</v>
      </c>
      <c r="C239" s="9" t="s">
        <v>1963</v>
      </c>
      <c r="D239" s="9" t="s">
        <v>1964</v>
      </c>
      <c r="E239" s="9" t="s">
        <v>204</v>
      </c>
      <c r="F239" s="9" t="s">
        <v>1965</v>
      </c>
      <c r="G239" s="9" t="s">
        <v>648</v>
      </c>
      <c r="H239" s="9" t="s">
        <v>1966</v>
      </c>
      <c r="I239" s="8" t="s">
        <v>39</v>
      </c>
      <c r="J239" s="8" t="s">
        <v>40</v>
      </c>
      <c r="K239" s="8" t="s">
        <v>40</v>
      </c>
      <c r="L239" s="7" t="s">
        <v>41</v>
      </c>
      <c r="M239" s="7" t="s">
        <v>41</v>
      </c>
      <c r="N239" s="7" t="s">
        <v>41</v>
      </c>
    </row>
    <row r="240" ht="36" customHeight="1" spans="1:14" x14ac:dyDescent="0.25">
      <c r="A240" s="7" t="s">
        <v>1967</v>
      </c>
      <c r="B240" s="7" t="s">
        <v>1950</v>
      </c>
      <c r="C240" s="7" t="s">
        <v>1968</v>
      </c>
      <c r="D240" s="7" t="s">
        <v>220</v>
      </c>
      <c r="E240" s="7" t="s">
        <v>1535</v>
      </c>
      <c r="F240" s="7" t="s">
        <v>1969</v>
      </c>
      <c r="G240" s="7" t="s">
        <v>648</v>
      </c>
      <c r="H240" s="7" t="s">
        <v>1970</v>
      </c>
      <c r="I240" s="8" t="s">
        <v>39</v>
      </c>
      <c r="J240" s="8" t="s">
        <v>40</v>
      </c>
      <c r="K240" s="8" t="s">
        <v>40</v>
      </c>
      <c r="L240" s="7" t="s">
        <v>41</v>
      </c>
      <c r="M240" s="7" t="s">
        <v>41</v>
      </c>
      <c r="N240" s="7" t="s">
        <v>41</v>
      </c>
    </row>
    <row r="241" ht="36" customHeight="1" spans="1:14" x14ac:dyDescent="0.25">
      <c r="A241" s="9" t="s">
        <v>1971</v>
      </c>
      <c r="B241" s="9" t="s">
        <v>1950</v>
      </c>
      <c r="C241" s="9" t="s">
        <v>1972</v>
      </c>
      <c r="D241" s="9" t="s">
        <v>220</v>
      </c>
      <c r="E241" s="9" t="s">
        <v>1973</v>
      </c>
      <c r="F241" s="9" t="s">
        <v>1974</v>
      </c>
      <c r="G241" s="9" t="s">
        <v>648</v>
      </c>
      <c r="H241" s="9" t="s">
        <v>1975</v>
      </c>
      <c r="I241" s="8" t="s">
        <v>39</v>
      </c>
      <c r="J241" s="8" t="s">
        <v>40</v>
      </c>
      <c r="K241" s="8" t="s">
        <v>40</v>
      </c>
      <c r="L241" s="7" t="s">
        <v>41</v>
      </c>
      <c r="M241" s="7" t="s">
        <v>41</v>
      </c>
      <c r="N241" s="7" t="s">
        <v>41</v>
      </c>
    </row>
    <row r="242" ht="36" customHeight="1" spans="1:14" x14ac:dyDescent="0.25">
      <c r="A242" s="7" t="s">
        <v>1976</v>
      </c>
      <c r="B242" s="7" t="s">
        <v>1950</v>
      </c>
      <c r="C242" s="7" t="s">
        <v>1977</v>
      </c>
      <c r="D242" s="7" t="s">
        <v>51</v>
      </c>
      <c r="E242" s="7" t="s">
        <v>1978</v>
      </c>
      <c r="F242" s="7" t="s">
        <v>1979</v>
      </c>
      <c r="G242" s="7" t="s">
        <v>1980</v>
      </c>
      <c r="H242" s="7" t="s">
        <v>693</v>
      </c>
      <c r="I242" s="8" t="s">
        <v>39</v>
      </c>
      <c r="J242" s="8" t="s">
        <v>40</v>
      </c>
      <c r="K242" s="8" t="s">
        <v>40</v>
      </c>
      <c r="L242" s="7" t="s">
        <v>41</v>
      </c>
      <c r="M242" s="7" t="s">
        <v>41</v>
      </c>
      <c r="N242" s="7" t="s">
        <v>41</v>
      </c>
    </row>
    <row r="243" ht="36" customHeight="1" spans="1:14" x14ac:dyDescent="0.25">
      <c r="A243" s="9" t="s">
        <v>1981</v>
      </c>
      <c r="B243" s="9" t="s">
        <v>1950</v>
      </c>
      <c r="C243" s="9" t="s">
        <v>1816</v>
      </c>
      <c r="D243" s="9" t="s">
        <v>1982</v>
      </c>
      <c r="E243" s="9" t="s">
        <v>204</v>
      </c>
      <c r="F243" s="9" t="s">
        <v>1983</v>
      </c>
      <c r="G243" s="9" t="s">
        <v>1984</v>
      </c>
      <c r="H243" s="9" t="s">
        <v>1985</v>
      </c>
      <c r="I243" s="8" t="s">
        <v>39</v>
      </c>
      <c r="J243" s="8" t="s">
        <v>40</v>
      </c>
      <c r="K243" s="8" t="s">
        <v>40</v>
      </c>
      <c r="L243" s="7" t="s">
        <v>41</v>
      </c>
      <c r="M243" s="7" t="s">
        <v>41</v>
      </c>
      <c r="N243" s="7" t="s">
        <v>41</v>
      </c>
    </row>
    <row r="244" ht="36" customHeight="1" spans="1:14" x14ac:dyDescent="0.25">
      <c r="A244" s="7" t="s">
        <v>1986</v>
      </c>
      <c r="B244" s="7" t="s">
        <v>1950</v>
      </c>
      <c r="C244" s="7" t="s">
        <v>1987</v>
      </c>
      <c r="D244" s="7" t="s">
        <v>34</v>
      </c>
      <c r="E244" s="7" t="s">
        <v>1988</v>
      </c>
      <c r="F244" s="7" t="s">
        <v>1989</v>
      </c>
      <c r="G244" s="7" t="s">
        <v>1990</v>
      </c>
      <c r="H244" s="7" t="s">
        <v>1991</v>
      </c>
      <c r="I244" s="8" t="s">
        <v>39</v>
      </c>
      <c r="J244" s="8" t="s">
        <v>40</v>
      </c>
      <c r="K244" s="8" t="s">
        <v>40</v>
      </c>
      <c r="L244" s="7" t="s">
        <v>41</v>
      </c>
      <c r="M244" s="7" t="s">
        <v>41</v>
      </c>
      <c r="N244" s="7" t="s">
        <v>41</v>
      </c>
    </row>
    <row r="245" ht="36" customHeight="1" spans="1:14" x14ac:dyDescent="0.25">
      <c r="A245" s="9" t="s">
        <v>1992</v>
      </c>
      <c r="B245" s="9" t="s">
        <v>1950</v>
      </c>
      <c r="C245" s="9" t="s">
        <v>1993</v>
      </c>
      <c r="D245" s="9" t="s">
        <v>547</v>
      </c>
      <c r="E245" s="9" t="s">
        <v>204</v>
      </c>
      <c r="F245" s="9" t="s">
        <v>1994</v>
      </c>
      <c r="G245" s="9" t="s">
        <v>1995</v>
      </c>
      <c r="H245" s="9" t="s">
        <v>1996</v>
      </c>
      <c r="I245" s="8" t="s">
        <v>39</v>
      </c>
      <c r="J245" s="8" t="s">
        <v>40</v>
      </c>
      <c r="K245" s="8" t="s">
        <v>40</v>
      </c>
      <c r="L245" s="7" t="s">
        <v>41</v>
      </c>
      <c r="M245" s="7" t="s">
        <v>41</v>
      </c>
      <c r="N245" s="7" t="s">
        <v>41</v>
      </c>
    </row>
    <row r="246" ht="36" customHeight="1" spans="1:14" x14ac:dyDescent="0.25">
      <c r="A246" s="7" t="s">
        <v>1997</v>
      </c>
      <c r="B246" s="7" t="s">
        <v>1950</v>
      </c>
      <c r="C246" s="7" t="s">
        <v>1998</v>
      </c>
      <c r="D246" s="7" t="s">
        <v>220</v>
      </c>
      <c r="E246" s="7" t="s">
        <v>703</v>
      </c>
      <c r="F246" s="7" t="s">
        <v>1999</v>
      </c>
      <c r="G246" s="7" t="s">
        <v>2000</v>
      </c>
      <c r="H246" s="7" t="s">
        <v>2001</v>
      </c>
      <c r="I246" s="8" t="s">
        <v>39</v>
      </c>
      <c r="J246" s="8" t="s">
        <v>40</v>
      </c>
      <c r="K246" s="8" t="s">
        <v>40</v>
      </c>
      <c r="L246" s="7" t="s">
        <v>41</v>
      </c>
      <c r="M246" s="7" t="s">
        <v>41</v>
      </c>
      <c r="N246" s="7" t="s">
        <v>41</v>
      </c>
    </row>
    <row r="247" ht="36" customHeight="1" spans="1:14" x14ac:dyDescent="0.25">
      <c r="A247" s="9" t="s">
        <v>2002</v>
      </c>
      <c r="B247" s="9" t="s">
        <v>737</v>
      </c>
      <c r="C247" s="9" t="s">
        <v>2003</v>
      </c>
      <c r="D247" s="9" t="s">
        <v>220</v>
      </c>
      <c r="E247" s="9" t="s">
        <v>204</v>
      </c>
      <c r="F247" s="9" t="s">
        <v>2004</v>
      </c>
      <c r="G247" s="9" t="s">
        <v>739</v>
      </c>
      <c r="H247" s="9" t="s">
        <v>740</v>
      </c>
      <c r="I247" s="8" t="s">
        <v>39</v>
      </c>
      <c r="J247" s="8" t="s">
        <v>40</v>
      </c>
      <c r="K247" s="8" t="s">
        <v>40</v>
      </c>
      <c r="L247" s="7" t="s">
        <v>41</v>
      </c>
      <c r="M247" s="7" t="s">
        <v>41</v>
      </c>
      <c r="N247" s="7" t="s">
        <v>41</v>
      </c>
    </row>
    <row r="248" ht="36" customHeight="1" spans="1:14" x14ac:dyDescent="0.25">
      <c r="A248" s="7" t="s">
        <v>2005</v>
      </c>
      <c r="B248" s="7" t="s">
        <v>737</v>
      </c>
      <c r="C248" s="7" t="s">
        <v>2006</v>
      </c>
      <c r="D248" s="7" t="s">
        <v>354</v>
      </c>
      <c r="E248" s="7" t="s">
        <v>2007</v>
      </c>
      <c r="F248" s="7" t="s">
        <v>2008</v>
      </c>
      <c r="G248" s="7" t="s">
        <v>2009</v>
      </c>
      <c r="H248" s="7" t="s">
        <v>2010</v>
      </c>
      <c r="I248" s="8" t="s">
        <v>39</v>
      </c>
      <c r="J248" s="8" t="s">
        <v>40</v>
      </c>
      <c r="K248" s="8" t="s">
        <v>40</v>
      </c>
      <c r="L248" s="7" t="s">
        <v>41</v>
      </c>
      <c r="M248" s="7" t="s">
        <v>41</v>
      </c>
      <c r="N248" s="7" t="s">
        <v>41</v>
      </c>
    </row>
    <row r="249" ht="36" customHeight="1" spans="1:14" x14ac:dyDescent="0.25">
      <c r="A249" s="9" t="s">
        <v>2011</v>
      </c>
      <c r="B249" s="9" t="s">
        <v>737</v>
      </c>
      <c r="C249" s="9" t="s">
        <v>2012</v>
      </c>
      <c r="D249" s="9" t="s">
        <v>2013</v>
      </c>
      <c r="E249" s="9" t="s">
        <v>204</v>
      </c>
      <c r="F249" s="9" t="s">
        <v>2014</v>
      </c>
      <c r="G249" s="9" t="s">
        <v>2015</v>
      </c>
      <c r="H249" s="9" t="s">
        <v>2016</v>
      </c>
      <c r="I249" s="8" t="s">
        <v>39</v>
      </c>
      <c r="J249" s="8" t="s">
        <v>40</v>
      </c>
      <c r="K249" s="8" t="s">
        <v>40</v>
      </c>
      <c r="L249" s="7" t="s">
        <v>41</v>
      </c>
      <c r="M249" s="7" t="s">
        <v>41</v>
      </c>
      <c r="N249" s="7" t="s">
        <v>41</v>
      </c>
    </row>
    <row r="250" ht="36" customHeight="1" spans="1:14" x14ac:dyDescent="0.25">
      <c r="A250" s="7" t="s">
        <v>2017</v>
      </c>
      <c r="B250" s="7" t="s">
        <v>737</v>
      </c>
      <c r="C250" s="7" t="s">
        <v>2018</v>
      </c>
      <c r="D250" s="7" t="s">
        <v>34</v>
      </c>
      <c r="E250" s="7" t="s">
        <v>204</v>
      </c>
      <c r="F250" s="7" t="s">
        <v>2019</v>
      </c>
      <c r="G250" s="7" t="s">
        <v>350</v>
      </c>
      <c r="H250" s="7" t="s">
        <v>2020</v>
      </c>
      <c r="I250" s="8" t="s">
        <v>39</v>
      </c>
      <c r="J250" s="8" t="s">
        <v>40</v>
      </c>
      <c r="K250" s="8" t="s">
        <v>40</v>
      </c>
      <c r="L250" s="7" t="s">
        <v>41</v>
      </c>
      <c r="M250" s="7" t="s">
        <v>41</v>
      </c>
      <c r="N250" s="7" t="s">
        <v>41</v>
      </c>
    </row>
    <row r="251" ht="36" customHeight="1" spans="1:14" x14ac:dyDescent="0.25">
      <c r="A251" s="9" t="s">
        <v>2021</v>
      </c>
      <c r="B251" s="9" t="s">
        <v>737</v>
      </c>
      <c r="C251" s="9" t="s">
        <v>2022</v>
      </c>
      <c r="D251" s="9" t="s">
        <v>547</v>
      </c>
      <c r="E251" s="9" t="s">
        <v>204</v>
      </c>
      <c r="F251" s="9" t="s">
        <v>2023</v>
      </c>
      <c r="G251" s="9" t="s">
        <v>2024</v>
      </c>
      <c r="H251" s="9" t="s">
        <v>2025</v>
      </c>
      <c r="I251" s="8" t="s">
        <v>39</v>
      </c>
      <c r="J251" s="8" t="s">
        <v>40</v>
      </c>
      <c r="K251" s="8" t="s">
        <v>40</v>
      </c>
      <c r="L251" s="7" t="s">
        <v>41</v>
      </c>
      <c r="M251" s="7" t="s">
        <v>41</v>
      </c>
      <c r="N251" s="7" t="s">
        <v>41</v>
      </c>
    </row>
    <row r="252" ht="36" customHeight="1" spans="1:14" x14ac:dyDescent="0.25">
      <c r="A252" s="7" t="s">
        <v>2026</v>
      </c>
      <c r="B252" s="7" t="s">
        <v>737</v>
      </c>
      <c r="C252" s="7" t="s">
        <v>2027</v>
      </c>
      <c r="D252" s="7" t="s">
        <v>547</v>
      </c>
      <c r="E252" s="7" t="s">
        <v>204</v>
      </c>
      <c r="F252" s="7" t="s">
        <v>2028</v>
      </c>
      <c r="G252" s="7" t="s">
        <v>2029</v>
      </c>
      <c r="H252" s="7" t="s">
        <v>2030</v>
      </c>
      <c r="I252" s="8" t="s">
        <v>39</v>
      </c>
      <c r="J252" s="8" t="s">
        <v>40</v>
      </c>
      <c r="K252" s="8" t="s">
        <v>40</v>
      </c>
      <c r="L252" s="7" t="s">
        <v>41</v>
      </c>
      <c r="M252" s="7" t="s">
        <v>41</v>
      </c>
      <c r="N252" s="7" t="s">
        <v>41</v>
      </c>
    </row>
    <row r="253" ht="36" customHeight="1" spans="1:14" x14ac:dyDescent="0.25">
      <c r="A253" s="9" t="s">
        <v>2031</v>
      </c>
      <c r="B253" s="9" t="s">
        <v>737</v>
      </c>
      <c r="C253" s="9" t="s">
        <v>2032</v>
      </c>
      <c r="D253" s="9" t="s">
        <v>2033</v>
      </c>
      <c r="E253" s="9" t="s">
        <v>204</v>
      </c>
      <c r="F253" s="9" t="s">
        <v>2034</v>
      </c>
      <c r="G253" s="9" t="s">
        <v>2035</v>
      </c>
      <c r="H253" s="9" t="s">
        <v>2036</v>
      </c>
      <c r="I253" s="8" t="s">
        <v>39</v>
      </c>
      <c r="J253" s="8" t="s">
        <v>40</v>
      </c>
      <c r="K253" s="8" t="s">
        <v>40</v>
      </c>
      <c r="L253" s="7" t="s">
        <v>41</v>
      </c>
      <c r="M253" s="7" t="s">
        <v>41</v>
      </c>
      <c r="N253" s="7" t="s">
        <v>41</v>
      </c>
    </row>
    <row r="254" ht="36" customHeight="1" spans="1:14" x14ac:dyDescent="0.25">
      <c r="A254" s="7" t="s">
        <v>2037</v>
      </c>
      <c r="B254" s="7" t="s">
        <v>737</v>
      </c>
      <c r="C254" s="7" t="s">
        <v>2038</v>
      </c>
      <c r="D254" s="7" t="s">
        <v>220</v>
      </c>
      <c r="E254" s="7" t="s">
        <v>1326</v>
      </c>
      <c r="F254" s="7" t="s">
        <v>1393</v>
      </c>
      <c r="G254" s="7" t="s">
        <v>7</v>
      </c>
      <c r="H254" s="7" t="s">
        <v>1343</v>
      </c>
      <c r="I254" s="8" t="s">
        <v>39</v>
      </c>
      <c r="J254" s="8" t="s">
        <v>40</v>
      </c>
      <c r="K254" s="8" t="s">
        <v>40</v>
      </c>
      <c r="L254" s="7" t="s">
        <v>41</v>
      </c>
      <c r="M254" s="7" t="s">
        <v>41</v>
      </c>
      <c r="N254" s="7" t="s">
        <v>41</v>
      </c>
    </row>
    <row r="255" ht="36" customHeight="1" spans="1:14" x14ac:dyDescent="0.25">
      <c r="A255" s="9" t="s">
        <v>2039</v>
      </c>
      <c r="B255" s="9" t="s">
        <v>737</v>
      </c>
      <c r="C255" s="9" t="s">
        <v>2040</v>
      </c>
      <c r="D255" s="9" t="s">
        <v>2041</v>
      </c>
      <c r="E255" s="9" t="s">
        <v>204</v>
      </c>
      <c r="F255" s="9" t="s">
        <v>2042</v>
      </c>
      <c r="G255" s="9" t="s">
        <v>2043</v>
      </c>
      <c r="H255" s="9" t="s">
        <v>2044</v>
      </c>
      <c r="I255" s="8" t="s">
        <v>39</v>
      </c>
      <c r="J255" s="8" t="s">
        <v>40</v>
      </c>
      <c r="K255" s="8" t="s">
        <v>40</v>
      </c>
      <c r="L255" s="7" t="s">
        <v>41</v>
      </c>
      <c r="M255" s="7" t="s">
        <v>41</v>
      </c>
      <c r="N255" s="7" t="s">
        <v>41</v>
      </c>
    </row>
  </sheetData>
  <autoFilter ref="A1:N1"/>
  <conditionalFormatting sqref="I2:I255">
    <cfRule type="containsText" dxfId="5" priority="1">
      <formula>NOT(ISERROR(SEARCH("Pass",I2)))</formula>
    </cfRule>
    <cfRule type="containsText" dxfId="6" priority="2">
      <formula>NOT(ISERROR(SEARCH("Fail",I2)))</formula>
    </cfRule>
    <cfRule type="containsText" dxfId="7" priority="3">
      <formula>NOT(ISERROR(SEARCH("Blocked",I2)))</formula>
    </cfRule>
  </conditionalFormatting>
  <conditionalFormatting sqref="J2:J255">
    <cfRule type="containsText" dxfId="8" priority="1">
      <formula>NOT(ISERROR(SEARCH("☑",J2)))</formula>
    </cfRule>
  </conditionalFormatting>
  <conditionalFormatting sqref="K2:K255">
    <cfRule type="containsText" dxfId="9" priority="1">
      <formula>NOT(ISERROR(SEARCH("☑",K2)))</formula>
    </cfRule>
  </conditionalFormatting>
  <dataValidations count="4">
    <dataValidation type="list" allowBlank="1" showErrorMessage="1" errorStyle="stop" errorTitle="Invalid value" error="Pick a value from the dropdown." sqref="I10:I255">
      <formula1>"Not Run,Pass,Fail,Blocked"</formula1>
    </dataValidation>
    <dataValidation type="list" allowBlank="1" showErrorMessage="1" errorStyle="stop" errorTitle="Invalid value" error="Pick a value from the dropdown." sqref="I2:I255">
      <formula1>"Not Run,Pass,Fail,Blocked"</formula1>
    </dataValidation>
    <dataValidation type="list" allowBlank="1" showErrorMessage="1" errorStyle="stop" errorTitle="Invalid value" error="Pick a value from the dropdown." sqref="J10:K255">
      <formula1>"☐,☑"</formula1>
    </dataValidation>
    <dataValidation type="list" allowBlank="1" showErrorMessage="1" errorStyle="stop" errorTitle="Invalid value" error="Pick a value from the dropdown." sqref="J2:K255">
      <formula1>"☐,☑"</formula1>
    </dataValidation>
  </dataValidations>
  <pageSetup paperSize="9" orientation="landscape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97706"/>
  </sheetPr>
  <dimension ref="A1:D12"/>
  <sheetFormatPr defaultRowHeight="15" outlineLevelRow="0" outlineLevelCol="0" x14ac:dyDescent="55"/>
  <cols>
    <col min="1" max="1" width="28" customWidth="1"/>
    <col min="2" max="4" width="16" customWidth="1"/>
  </cols>
  <sheetData>
    <row r="1" spans="1:1" x14ac:dyDescent="0.25">
      <c r="A1" s="10" t="s">
        <v>2045</v>
      </c>
    </row>
    <row r="3" spans="1:4" x14ac:dyDescent="0.25">
      <c r="A3" s="2" t="s">
        <v>2046</v>
      </c>
      <c r="B3" s="2" t="s">
        <v>2047</v>
      </c>
      <c r="C3" s="2" t="s">
        <v>2048</v>
      </c>
      <c r="D3" s="2" t="s">
        <v>2049</v>
      </c>
    </row>
    <row r="4" spans="1:4" s="11" customFormat="1" x14ac:dyDescent="0.25">
      <c r="A4" s="11" t="s">
        <v>2050</v>
      </c>
      <c r="B4" s="11">
        <f>COUNTA('Users &amp; RBAC'!A2:A126)</f>
      </c>
      <c r="C4" s="11">
        <f>COUNTA('Full system'!A2:A255)</f>
      </c>
      <c r="D4" s="11">
        <f>B4+C4</f>
      </c>
    </row>
    <row r="5" spans="1:4" s="11" customFormat="1" x14ac:dyDescent="0.25">
      <c r="A5" s="11" t="s">
        <v>39</v>
      </c>
      <c r="B5" s="11">
        <f>COUNTIF('Users &amp; RBAC'!I:I,"Not Run")</f>
      </c>
      <c r="C5" s="11">
        <f>COUNTIF('Full system'!I:I,"Not Run")</f>
      </c>
      <c r="D5" s="11">
        <f>B5+C5</f>
      </c>
    </row>
    <row r="6" spans="1:4" s="11" customFormat="1" x14ac:dyDescent="0.25">
      <c r="A6" s="11" t="s">
        <v>2051</v>
      </c>
      <c r="B6" s="11">
        <f>COUNTIF('Users &amp; RBAC'!I:I,"Pass")</f>
      </c>
      <c r="C6" s="11">
        <f>COUNTIF('Full system'!I:I,"Pass")</f>
      </c>
      <c r="D6" s="11">
        <f>B6+C6</f>
      </c>
    </row>
    <row r="7" spans="1:4" s="11" customFormat="1" x14ac:dyDescent="0.25">
      <c r="A7" s="11" t="s">
        <v>2052</v>
      </c>
      <c r="B7" s="11">
        <f>COUNTIF('Users &amp; RBAC'!I:I,"Fail")</f>
      </c>
      <c r="C7" s="11">
        <f>COUNTIF('Full system'!I:I,"Fail")</f>
      </c>
      <c r="D7" s="11">
        <f>B7+C7</f>
      </c>
    </row>
    <row r="8" spans="1:4" s="11" customFormat="1" x14ac:dyDescent="0.25">
      <c r="A8" s="11" t="s">
        <v>1990</v>
      </c>
      <c r="B8" s="11">
        <f>COUNTIF('Users &amp; RBAC'!I:I,"Blocked")</f>
      </c>
      <c r="C8" s="11">
        <f>COUNTIF('Full system'!I:I,"Blocked")</f>
      </c>
      <c r="D8" s="11">
        <f>B8+C8</f>
      </c>
    </row>
    <row r="9" spans="1:4" s="11" customFormat="1" x14ac:dyDescent="0.25">
      <c r="A9" s="11" t="s">
        <v>2053</v>
      </c>
      <c r="B9" s="11">
        <f>COUNTIF('Users &amp; RBAC'!J:J,"☑")</f>
      </c>
      <c r="C9" s="11">
        <f>COUNTIF('Full system'!J:J,"☑")</f>
      </c>
      <c r="D9" s="11">
        <f>B9+C9</f>
      </c>
    </row>
    <row r="10" spans="1:4" s="11" customFormat="1" x14ac:dyDescent="0.25">
      <c r="A10" s="11" t="s">
        <v>2054</v>
      </c>
      <c r="B10" s="11">
        <f>COUNTIF('Users &amp; RBAC'!K:K,"☑")</f>
      </c>
      <c r="C10" s="11">
        <f>COUNTIF('Full system'!K:K,"☑")</f>
      </c>
      <c r="D10" s="11">
        <f>B10+C10</f>
      </c>
    </row>
    <row r="12" spans="1:4" x14ac:dyDescent="0.25">
      <c r="A12" s="12" t="s">
        <v>2055</v>
      </c>
      <c r="B12" s="12"/>
      <c r="C12" s="12"/>
      <c r="D12" s="12"/>
    </row>
  </sheetData>
  <mergeCells count="1">
    <mergeCell ref="A12:D1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Users &amp; RBAC</vt:lpstr>
      <vt:lpstr>Full system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Foodluk QA</dc:creator>
  <dc:title/>
  <dc:subject/>
  <dc:description/>
  <cp:keywords/>
  <cp:category/>
  <cp:lastModifiedBy>Unknown</cp:lastModifiedBy>
  <dcterms:created xsi:type="dcterms:W3CDTF">2026-08-20T08:32:38Z</dcterms:created>
  <dcterms:modified xsi:type="dcterms:W3CDTF">2026-08-20T08:32:38Z</dcterms:modified>
</cp:coreProperties>
</file>